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greece_data/geographical_feature/"/>
    </mc:Choice>
  </mc:AlternateContent>
  <xr:revisionPtr revIDLastSave="0" documentId="13_ncr:1_{5F1AB9E1-3512-7E40-9718-BF795F8ADAF5}" xr6:coauthVersionLast="47" xr6:coauthVersionMax="47" xr10:uidLastSave="{00000000-0000-0000-0000-000000000000}"/>
  <bookViews>
    <workbookView xWindow="2740" yWindow="5860" windowWidth="27240" windowHeight="11000" activeTab="2" xr2:uid="{CA5758F3-F30F-A746-952D-249D6F2B2293}"/>
  </bookViews>
  <sheets>
    <sheet name="nodes" sheetId="1" r:id="rId1"/>
    <sheet name="truck" sheetId="2" r:id="rId2"/>
    <sheet name="pipeline" sheetId="3" r:id="rId3"/>
    <sheet name="railway" sheetId="4" r:id="rId4"/>
    <sheet name="ship" sheetId="6" r:id="rId5"/>
    <sheet name="raw_data" sheetId="5" r:id="rId6"/>
    <sheet name="read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6" l="1"/>
  <c r="N16" i="6"/>
  <c r="N15" i="6"/>
  <c r="C15" i="6"/>
  <c r="O9" i="6"/>
  <c r="N9" i="6"/>
  <c r="I6" i="6"/>
  <c r="N6" i="6"/>
  <c r="N3" i="6"/>
</calcChain>
</file>

<file path=xl/sharedStrings.xml><?xml version="1.0" encoding="utf-8"?>
<sst xmlns="http://schemas.openxmlformats.org/spreadsheetml/2006/main" count="140" uniqueCount="84">
  <si>
    <t>node_id</t>
  </si>
  <si>
    <t>node_name</t>
  </si>
  <si>
    <t>longitude</t>
  </si>
  <si>
    <t>latitude</t>
  </si>
  <si>
    <t>altitude</t>
  </si>
  <si>
    <t>annual_flux</t>
  </si>
  <si>
    <t>computed_annual_flux</t>
  </si>
  <si>
    <t>node_type</t>
  </si>
  <si>
    <t>HALYPS BUILDING MATERIALS S.A.</t>
  </si>
  <si>
    <t>HELLENIC PETROLEUM S.A. - INDUSTRIAL DIVISION OF ASPROPYRGOS</t>
  </si>
  <si>
    <t>HELLENIC PETROLEUM S.A. - THESSALONIKI INDUSTRIAL COMPLEX</t>
  </si>
  <si>
    <t>HELLENIC PETROLEUM S.A. –SOUTH REFINERIES COMPLEX – ELEFSIS INDUSTRIAL FACILITIES</t>
  </si>
  <si>
    <t>HERACLES G.C.Co, MILAKI PLANT</t>
  </si>
  <si>
    <t>HERACLES G.C.Co, VOLOS PLANT</t>
  </si>
  <si>
    <t>MOTOR OIL (HELLAS) - CORINTHOS REFINERIES S.A.</t>
  </si>
  <si>
    <t>TITAN CEMENT S.A. - DREPANO PLANT</t>
  </si>
  <si>
    <t>TITAN CEMENT S.A. - KAMARI PLANT</t>
  </si>
  <si>
    <t>TITAN CEMENT S.A. - THESSALONIKI PLANT</t>
  </si>
  <si>
    <t>Cement</t>
  </si>
  <si>
    <t>Refining</t>
  </si>
  <si>
    <t>Facility name</t>
  </si>
  <si>
    <t>Longitude</t>
  </si>
  <si>
    <t>Latitude</t>
  </si>
  <si>
    <t>Yearly CO2 emissions [kg/year]</t>
  </si>
  <si>
    <t>Sector</t>
  </si>
  <si>
    <t>Owner</t>
  </si>
  <si>
    <t>Activity</t>
  </si>
  <si>
    <t>City</t>
  </si>
  <si>
    <t>Production capacity</t>
  </si>
  <si>
    <t>Production capacity u.m.</t>
  </si>
  <si>
    <t>Reference year</t>
  </si>
  <si>
    <t>Source</t>
  </si>
  <si>
    <t>Note</t>
  </si>
  <si>
    <t>HALYPS BUILDING MATERIALS</t>
  </si>
  <si>
    <t>HELLENIC PETROLEUM S.A.</t>
  </si>
  <si>
    <t>HERACLES G.C.Co</t>
  </si>
  <si>
    <t>CORINTHOS REFINERIES S.A.</t>
  </si>
  <si>
    <t>TITAN CEMENT S.A.</t>
  </si>
  <si>
    <t>Installations for the production of cement clinker in rotary kilns, lime in rotary kilns, cement or lime in other furnaces. Note to reporters, use Level 3 activity e.g. 3(c)(i), in preference to 3(c). Level 2 activity class (i.e. 3(c)) only to be used where Level 3 is not available.</t>
  </si>
  <si>
    <t>Mineral oil and gas refineries</t>
  </si>
  <si>
    <t>ASPROPYRGOS</t>
  </si>
  <si>
    <t>ECHEDOROS</t>
  </si>
  <si>
    <t>ELEFSIS</t>
  </si>
  <si>
    <t>ALIVERI</t>
  </si>
  <si>
    <t>PORTARIA</t>
  </si>
  <si>
    <t>SOUSSAKI, AG. THEODORI</t>
  </si>
  <si>
    <t>RION</t>
  </si>
  <si>
    <t>KAMARI, DERVENOCHORIA</t>
  </si>
  <si>
    <t>EYKARPIA</t>
  </si>
  <si>
    <t>https://industry.eea.europa.eu/</t>
  </si>
  <si>
    <t>OBJECTID=1</t>
  </si>
  <si>
    <t>OBJECTID=2</t>
  </si>
  <si>
    <t>OBJECTID=3</t>
  </si>
  <si>
    <t>OBJECTID=4</t>
  </si>
  <si>
    <t>OBJECTID=5</t>
  </si>
  <si>
    <t>OBJECTID=6</t>
  </si>
  <si>
    <t>OBJECTID=7</t>
  </si>
  <si>
    <t>OBJECTID=8</t>
  </si>
  <si>
    <t>OBJECTID=9</t>
  </si>
  <si>
    <t>OBJECTID=10</t>
  </si>
  <si>
    <t>Storage</t>
  </si>
  <si>
    <t>Prinos CO2</t>
  </si>
  <si>
    <t>Annual storage capacity</t>
  </si>
  <si>
    <t>Period</t>
  </si>
  <si>
    <t>2026 - Q3 2028</t>
  </si>
  <si>
    <t>Q4 2028 - 2050</t>
  </si>
  <si>
    <t>Transport</t>
  </si>
  <si>
    <t>Litochoro</t>
  </si>
  <si>
    <t>Lianokladion</t>
  </si>
  <si>
    <t>Railway station name</t>
  </si>
  <si>
    <t>Patra</t>
  </si>
  <si>
    <t>Athina</t>
  </si>
  <si>
    <t>Thessaloniki</t>
  </si>
  <si>
    <t>Gallikos</t>
  </si>
  <si>
    <t>Larisa</t>
  </si>
  <si>
    <t>Trikala</t>
  </si>
  <si>
    <t>Platy</t>
  </si>
  <si>
    <t>Korinthos</t>
  </si>
  <si>
    <t xml:space="preserve">Kavala </t>
  </si>
  <si>
    <t>Volos</t>
  </si>
  <si>
    <t>Stylis</t>
  </si>
  <si>
    <t>MOTOR OIL (HELLAS) - CORINTHOS REFINERIES S.A. (Agioi Theodoroi Port)</t>
  </si>
  <si>
    <t>ASPROPYRGOS (Aspropyros Port)</t>
  </si>
  <si>
    <t>HELLENIC PETROLEUM S.A. - THESSALONIKI INDUSTRIAL COMPLEX (Thessaloniki 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</si>
</sst>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1" applyNumberFormat="1" applyFont="1"/>
    <xf numFmtId="0" fontId="3" fillId="0" borderId="1" xfId="0" applyFont="1" applyBorder="1"/>
    <xf numFmtId="165" fontId="3" fillId="0" borderId="0" xfId="0" applyNumberFormat="1" applyFont="1"/>
    <xf numFmtId="0" fontId="3" fillId="0" borderId="0" xfId="0" applyFont="1"/>
    <xf numFmtId="0" fontId="4" fillId="0" borderId="0" xfId="2"/>
    <xf numFmtId="166" fontId="2" fillId="0" borderId="0" xfId="0" applyNumberFormat="1" applyFont="1"/>
    <xf numFmtId="1" fontId="0" fillId="0" borderId="0" xfId="0" applyNumberFormat="1"/>
    <xf numFmtId="0" fontId="6" fillId="0" borderId="0" xfId="0" applyFont="1"/>
    <xf numFmtId="2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industry.eea.europa.eu/" TargetMode="External"/><Relationship Id="rId1" Type="http://schemas.openxmlformats.org/officeDocument/2006/relationships/hyperlink" Target="https://industry.eea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F090-FDED-AE48-975E-BAE2F3F15742}">
  <dimension ref="A1:K21"/>
  <sheetViews>
    <sheetView topLeftCell="A6" zoomScale="125" workbookViewId="0">
      <selection activeCell="B15" sqref="B15"/>
    </sheetView>
  </sheetViews>
  <sheetFormatPr baseColWidth="10" defaultRowHeight="16" x14ac:dyDescent="0.2"/>
  <cols>
    <col min="1" max="1" width="7.5" customWidth="1"/>
    <col min="2" max="2" width="75.33203125" customWidth="1"/>
    <col min="6" max="6" width="14.1640625" customWidth="1"/>
    <col min="7" max="7" width="20.5" customWidth="1"/>
  </cols>
  <sheetData>
    <row r="1" spans="1:1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/>
      <c r="J1" s="3"/>
      <c r="K1" s="3"/>
    </row>
    <row r="2" spans="1:11" x14ac:dyDescent="0.2">
      <c r="A2">
        <v>1</v>
      </c>
      <c r="B2" t="s">
        <v>17</v>
      </c>
      <c r="C2">
        <v>22.930019999999999</v>
      </c>
      <c r="D2">
        <v>40.899099999999997</v>
      </c>
      <c r="E2">
        <v>10</v>
      </c>
      <c r="F2">
        <v>678000000</v>
      </c>
      <c r="H2" t="s">
        <v>18</v>
      </c>
    </row>
    <row r="3" spans="1:11" x14ac:dyDescent="0.2">
      <c r="A3">
        <v>2</v>
      </c>
      <c r="B3" t="s">
        <v>83</v>
      </c>
      <c r="C3">
        <v>22.885539999999999</v>
      </c>
      <c r="D3">
        <v>40.685319999999997</v>
      </c>
      <c r="E3">
        <v>10</v>
      </c>
      <c r="F3">
        <v>292000000</v>
      </c>
      <c r="H3" t="s">
        <v>19</v>
      </c>
    </row>
    <row r="4" spans="1:11" x14ac:dyDescent="0.2">
      <c r="A4">
        <v>3</v>
      </c>
      <c r="B4" t="s">
        <v>13</v>
      </c>
      <c r="C4">
        <v>22.96998</v>
      </c>
      <c r="D4">
        <v>39.534120000000001</v>
      </c>
      <c r="E4">
        <v>10</v>
      </c>
      <c r="F4">
        <v>1080000000</v>
      </c>
      <c r="H4" t="s">
        <v>18</v>
      </c>
    </row>
    <row r="5" spans="1:11" x14ac:dyDescent="0.2">
      <c r="A5">
        <v>4</v>
      </c>
      <c r="B5" s="1" t="s">
        <v>15</v>
      </c>
      <c r="C5" s="11">
        <v>21.793769999999999</v>
      </c>
      <c r="D5" s="11">
        <v>38.534520000000001</v>
      </c>
      <c r="E5">
        <v>10</v>
      </c>
      <c r="F5" s="6">
        <v>724000000</v>
      </c>
      <c r="H5" s="1" t="s">
        <v>18</v>
      </c>
    </row>
    <row r="6" spans="1:11" x14ac:dyDescent="0.2">
      <c r="A6">
        <v>5</v>
      </c>
      <c r="B6" s="1" t="s">
        <v>81</v>
      </c>
      <c r="C6" s="11">
        <v>23.07658</v>
      </c>
      <c r="D6" s="11">
        <v>37.922330000000002</v>
      </c>
      <c r="E6">
        <v>10</v>
      </c>
      <c r="F6" s="6">
        <v>2140000000</v>
      </c>
      <c r="H6" s="1" t="s">
        <v>19</v>
      </c>
    </row>
    <row r="7" spans="1:11" x14ac:dyDescent="0.2">
      <c r="A7">
        <v>6</v>
      </c>
      <c r="B7" s="1" t="s">
        <v>16</v>
      </c>
      <c r="C7" s="11">
        <v>23.53058</v>
      </c>
      <c r="D7" s="11">
        <v>38.131459999999997</v>
      </c>
      <c r="E7">
        <v>10</v>
      </c>
      <c r="F7" s="6">
        <v>1480000000</v>
      </c>
      <c r="H7" s="1" t="s">
        <v>18</v>
      </c>
    </row>
    <row r="8" spans="1:11" x14ac:dyDescent="0.2">
      <c r="A8">
        <v>7</v>
      </c>
      <c r="B8" s="1" t="s">
        <v>11</v>
      </c>
      <c r="C8" s="11">
        <v>23.502859999999998</v>
      </c>
      <c r="D8" s="11">
        <v>38.04036</v>
      </c>
      <c r="E8">
        <v>10</v>
      </c>
      <c r="F8" s="6">
        <v>1980000000</v>
      </c>
      <c r="H8" s="1" t="s">
        <v>19</v>
      </c>
    </row>
    <row r="9" spans="1:11" x14ac:dyDescent="0.2">
      <c r="A9">
        <v>8</v>
      </c>
      <c r="B9" s="1" t="s">
        <v>82</v>
      </c>
      <c r="C9">
        <v>23.644279999999998</v>
      </c>
      <c r="D9">
        <v>38.050190000000001</v>
      </c>
      <c r="E9">
        <v>10</v>
      </c>
      <c r="F9">
        <v>190800000</v>
      </c>
      <c r="H9" t="s">
        <v>18</v>
      </c>
    </row>
    <row r="10" spans="1:11" x14ac:dyDescent="0.2">
      <c r="A10">
        <v>8</v>
      </c>
      <c r="B10" s="1" t="s">
        <v>82</v>
      </c>
      <c r="C10">
        <v>23.597940000000001</v>
      </c>
      <c r="D10">
        <v>38.030900000000003</v>
      </c>
      <c r="E10">
        <v>10</v>
      </c>
      <c r="F10">
        <v>1460000000</v>
      </c>
      <c r="H10" t="s">
        <v>19</v>
      </c>
    </row>
    <row r="11" spans="1:11" x14ac:dyDescent="0.2">
      <c r="A11">
        <v>9</v>
      </c>
      <c r="B11" s="1" t="s">
        <v>12</v>
      </c>
      <c r="C11" s="11">
        <v>24.06541</v>
      </c>
      <c r="D11" s="11">
        <v>38.379539999999999</v>
      </c>
      <c r="E11">
        <v>10</v>
      </c>
      <c r="F11" s="6">
        <v>809000000</v>
      </c>
      <c r="H11" s="1" t="s">
        <v>18</v>
      </c>
    </row>
    <row r="12" spans="1:11" x14ac:dyDescent="0.2">
      <c r="A12">
        <v>10</v>
      </c>
      <c r="B12" t="s">
        <v>61</v>
      </c>
      <c r="C12">
        <v>24.48997</v>
      </c>
      <c r="D12">
        <v>40.800089999999997</v>
      </c>
      <c r="E12">
        <v>10</v>
      </c>
      <c r="F12" s="6">
        <v>0</v>
      </c>
      <c r="H12" s="1" t="s">
        <v>60</v>
      </c>
    </row>
    <row r="13" spans="1:11" x14ac:dyDescent="0.2">
      <c r="A13">
        <v>11</v>
      </c>
      <c r="B13" s="1" t="s">
        <v>67</v>
      </c>
      <c r="C13" s="11">
        <v>22.549869999999999</v>
      </c>
      <c r="D13" s="11">
        <v>40.12547</v>
      </c>
      <c r="E13">
        <v>10</v>
      </c>
      <c r="F13" s="6">
        <v>0</v>
      </c>
      <c r="H13" s="1" t="s">
        <v>66</v>
      </c>
    </row>
    <row r="14" spans="1:11" x14ac:dyDescent="0.2">
      <c r="A14">
        <v>12</v>
      </c>
      <c r="B14" s="1" t="s">
        <v>68</v>
      </c>
      <c r="C14" s="11">
        <v>22.372969999999999</v>
      </c>
      <c r="D14" s="11">
        <v>38.89087</v>
      </c>
      <c r="E14">
        <v>10</v>
      </c>
      <c r="F14" s="6">
        <v>0</v>
      </c>
      <c r="H14" s="1" t="s">
        <v>66</v>
      </c>
    </row>
    <row r="15" spans="1:11" x14ac:dyDescent="0.2">
      <c r="A15">
        <v>13</v>
      </c>
      <c r="B15" s="1" t="s">
        <v>78</v>
      </c>
      <c r="C15" s="5">
        <v>24.411020000000001</v>
      </c>
      <c r="D15" s="5">
        <v>40.936323999999999</v>
      </c>
      <c r="E15">
        <v>10</v>
      </c>
      <c r="F15" s="6">
        <v>0</v>
      </c>
      <c r="H15" s="1" t="s">
        <v>66</v>
      </c>
    </row>
    <row r="16" spans="1:11" x14ac:dyDescent="0.2">
      <c r="A16">
        <v>14</v>
      </c>
      <c r="B16" s="1" t="s">
        <v>79</v>
      </c>
      <c r="C16" s="5">
        <v>22.923532999999999</v>
      </c>
      <c r="D16" s="5">
        <v>39.345751999999997</v>
      </c>
      <c r="E16">
        <v>10</v>
      </c>
      <c r="F16" s="6">
        <v>0</v>
      </c>
      <c r="H16" s="1" t="s">
        <v>66</v>
      </c>
    </row>
    <row r="17" spans="1:8" x14ac:dyDescent="0.2">
      <c r="A17">
        <v>15</v>
      </c>
      <c r="B17" s="1" t="s">
        <v>80</v>
      </c>
      <c r="C17" s="5">
        <v>22.649626000000001</v>
      </c>
      <c r="D17" s="5">
        <v>38.905344999999997</v>
      </c>
      <c r="E17">
        <v>10</v>
      </c>
      <c r="F17" s="6">
        <v>0</v>
      </c>
      <c r="H17" s="1" t="s">
        <v>66</v>
      </c>
    </row>
    <row r="18" spans="1:8" x14ac:dyDescent="0.2">
      <c r="B18" s="1"/>
      <c r="C18" s="5"/>
      <c r="D18" s="5"/>
      <c r="F18" s="6"/>
      <c r="H18" s="1"/>
    </row>
    <row r="19" spans="1:8" x14ac:dyDescent="0.2">
      <c r="B19" s="1"/>
      <c r="C19" s="5"/>
      <c r="D19" s="5"/>
      <c r="F19" s="6"/>
      <c r="H19" s="1"/>
    </row>
    <row r="20" spans="1:8" x14ac:dyDescent="0.2">
      <c r="B20" s="1"/>
      <c r="C20" s="5"/>
      <c r="D20" s="5"/>
      <c r="F20" s="6"/>
      <c r="H20" s="1"/>
    </row>
    <row r="21" spans="1:8" x14ac:dyDescent="0.2">
      <c r="B21" s="1"/>
      <c r="C21" s="5"/>
      <c r="D21" s="5"/>
      <c r="F21" s="6"/>
      <c r="H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DA97-2277-A249-88EB-8EE6DC667038}">
  <dimension ref="A1:P16"/>
  <sheetViews>
    <sheetView workbookViewId="0">
      <selection activeCell="R8" sqref="R8"/>
    </sheetView>
  </sheetViews>
  <sheetFormatPr baseColWidth="10" defaultRowHeight="16" x14ac:dyDescent="0.2"/>
  <sheetData>
    <row r="1" spans="1:16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>
        <v>1</v>
      </c>
      <c r="B2">
        <v>0</v>
      </c>
      <c r="C2">
        <v>34.130000000000003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150.78</v>
      </c>
      <c r="L2">
        <v>0</v>
      </c>
      <c r="M2">
        <v>0</v>
      </c>
      <c r="N2">
        <v>155.80739500000001</v>
      </c>
      <c r="O2">
        <v>0</v>
      </c>
      <c r="P2">
        <v>0</v>
      </c>
    </row>
    <row r="3" spans="1:16" x14ac:dyDescent="0.2">
      <c r="A3">
        <v>2</v>
      </c>
      <c r="B3">
        <v>34.130000000000003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138.02000000000001</v>
      </c>
      <c r="L3">
        <v>81.47</v>
      </c>
      <c r="M3">
        <v>0</v>
      </c>
      <c r="N3">
        <v>141.65283199999999</v>
      </c>
      <c r="O3">
        <v>0</v>
      </c>
      <c r="P3">
        <v>0</v>
      </c>
    </row>
    <row r="4" spans="1:16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40.96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12.33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12.33</v>
      </c>
      <c r="I9">
        <v>0</v>
      </c>
      <c r="J9">
        <v>116.16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11</v>
      </c>
      <c r="B12">
        <v>0</v>
      </c>
      <c r="C12">
        <v>81.47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115.164067</v>
      </c>
      <c r="P12">
        <v>0</v>
      </c>
    </row>
    <row r="13" spans="1:16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157.06</v>
      </c>
      <c r="M13">
        <v>0</v>
      </c>
      <c r="N13">
        <v>0</v>
      </c>
      <c r="O13">
        <v>0</v>
      </c>
      <c r="P13">
        <v>25.329825</v>
      </c>
    </row>
    <row r="14" spans="1:16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115.164067</v>
      </c>
      <c r="M15">
        <v>0</v>
      </c>
      <c r="N15">
        <v>0</v>
      </c>
      <c r="O15">
        <v>0</v>
      </c>
      <c r="P15">
        <v>83.145487000000003</v>
      </c>
    </row>
    <row r="16" spans="1:16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25.329825</v>
      </c>
      <c r="N16">
        <v>0</v>
      </c>
      <c r="O16">
        <v>83.145487000000003</v>
      </c>
      <c r="P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3B97-818C-AC42-BED4-6B2BE6DDED0C}">
  <dimension ref="A1:P16"/>
  <sheetViews>
    <sheetView tabSelected="1" workbookViewId="0">
      <selection activeCell="B2" sqref="B2:P16"/>
    </sheetView>
  </sheetViews>
  <sheetFormatPr baseColWidth="10" defaultRowHeight="16" x14ac:dyDescent="0.2"/>
  <sheetData>
    <row r="1" spans="1:16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>
        <v>1</v>
      </c>
      <c r="B2" s="14">
        <v>0</v>
      </c>
      <c r="C2" s="14">
        <v>23.5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132.78</v>
      </c>
      <c r="L2" s="14">
        <v>0</v>
      </c>
      <c r="M2" s="14">
        <v>0</v>
      </c>
      <c r="N2" s="14">
        <v>125.15272299999999</v>
      </c>
      <c r="O2" s="14">
        <v>0</v>
      </c>
      <c r="P2" s="14">
        <v>0</v>
      </c>
    </row>
    <row r="3" spans="1:16" x14ac:dyDescent="0.2">
      <c r="A3">
        <v>2</v>
      </c>
      <c r="B3" s="14">
        <v>23.5</v>
      </c>
      <c r="C3" s="14">
        <v>0</v>
      </c>
      <c r="D3" s="14">
        <v>128.21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136.21</v>
      </c>
      <c r="L3" s="14">
        <v>68.040000000000006</v>
      </c>
      <c r="M3" s="14">
        <v>0</v>
      </c>
      <c r="N3" s="14">
        <v>131.25088299999999</v>
      </c>
      <c r="O3" s="14">
        <v>0</v>
      </c>
      <c r="P3" s="14">
        <v>0</v>
      </c>
    </row>
    <row r="4" spans="1:16" x14ac:dyDescent="0.2">
      <c r="A4">
        <v>3</v>
      </c>
      <c r="B4" s="14">
        <v>0</v>
      </c>
      <c r="C4" s="14">
        <v>128.21</v>
      </c>
      <c r="D4" s="14">
        <v>0</v>
      </c>
      <c r="E4" s="14">
        <v>0</v>
      </c>
      <c r="F4" s="14">
        <v>0</v>
      </c>
      <c r="G4" s="14">
        <v>162.31</v>
      </c>
      <c r="H4" s="14">
        <v>0</v>
      </c>
      <c r="I4" s="14">
        <v>0</v>
      </c>
      <c r="J4" s="14">
        <v>158.11000000000001</v>
      </c>
      <c r="K4" s="14">
        <v>190.38</v>
      </c>
      <c r="L4" s="14">
        <v>74.489999999999995</v>
      </c>
      <c r="M4" s="14">
        <v>86.77</v>
      </c>
      <c r="N4" s="14">
        <v>199.04813799999999</v>
      </c>
      <c r="O4" s="14">
        <v>21.259093</v>
      </c>
      <c r="P4" s="14">
        <v>0</v>
      </c>
    </row>
    <row r="5" spans="1:16" x14ac:dyDescent="0.2">
      <c r="A5">
        <v>4</v>
      </c>
      <c r="B5" s="14">
        <v>0</v>
      </c>
      <c r="C5" s="14">
        <v>0</v>
      </c>
      <c r="D5" s="14">
        <v>0</v>
      </c>
      <c r="E5" s="14">
        <v>0</v>
      </c>
      <c r="F5" s="14">
        <v>130.52000000000001</v>
      </c>
      <c r="G5" s="14">
        <v>158.76</v>
      </c>
      <c r="H5" s="14">
        <v>0</v>
      </c>
      <c r="I5" s="14">
        <v>0</v>
      </c>
      <c r="J5" s="14">
        <v>199.18</v>
      </c>
      <c r="K5" s="14">
        <v>0</v>
      </c>
      <c r="L5" s="14">
        <v>189.66</v>
      </c>
      <c r="M5" s="14">
        <v>62.59</v>
      </c>
      <c r="N5" s="14">
        <v>0</v>
      </c>
      <c r="O5" s="14">
        <v>0</v>
      </c>
      <c r="P5" s="14">
        <v>84.888024999999999</v>
      </c>
    </row>
    <row r="6" spans="1:16" x14ac:dyDescent="0.2">
      <c r="A6">
        <v>5</v>
      </c>
      <c r="B6" s="14">
        <v>0</v>
      </c>
      <c r="C6" s="14">
        <v>0</v>
      </c>
      <c r="D6" s="14">
        <v>176.82</v>
      </c>
      <c r="E6" s="14">
        <v>130.52000000000001</v>
      </c>
      <c r="F6" s="14">
        <v>0</v>
      </c>
      <c r="G6" s="14">
        <v>44.92</v>
      </c>
      <c r="H6" s="14">
        <v>39.590000000000003</v>
      </c>
      <c r="I6" s="14">
        <v>0</v>
      </c>
      <c r="J6" s="14">
        <v>0</v>
      </c>
      <c r="K6" s="14">
        <v>0</v>
      </c>
      <c r="L6" s="14">
        <v>0</v>
      </c>
      <c r="M6" s="14">
        <v>122.89</v>
      </c>
      <c r="N6" s="14">
        <v>0</v>
      </c>
      <c r="O6" s="14">
        <v>0</v>
      </c>
      <c r="P6" s="14">
        <v>115.10944499999999</v>
      </c>
    </row>
    <row r="7" spans="1:16" x14ac:dyDescent="0.2">
      <c r="A7">
        <v>6</v>
      </c>
      <c r="B7" s="14">
        <v>0</v>
      </c>
      <c r="C7" s="14">
        <v>0</v>
      </c>
      <c r="D7" s="14">
        <v>162.31</v>
      </c>
      <c r="E7" s="14">
        <v>0</v>
      </c>
      <c r="F7" s="14">
        <v>0</v>
      </c>
      <c r="G7" s="14">
        <v>0</v>
      </c>
      <c r="H7" s="14">
        <v>10.29</v>
      </c>
      <c r="I7" s="14">
        <v>13.81</v>
      </c>
      <c r="J7" s="14">
        <v>53.78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</row>
    <row r="8" spans="1:16" x14ac:dyDescent="0.2">
      <c r="A8">
        <v>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10.29</v>
      </c>
      <c r="H8" s="14">
        <v>0</v>
      </c>
      <c r="I8" s="14">
        <v>10.67</v>
      </c>
      <c r="J8" s="14">
        <v>60.99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</row>
    <row r="9" spans="1:16" x14ac:dyDescent="0.2">
      <c r="A9">
        <v>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13.81</v>
      </c>
      <c r="H9" s="14">
        <v>10.67</v>
      </c>
      <c r="I9" s="14">
        <v>0</v>
      </c>
      <c r="J9" s="14">
        <v>53.24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</row>
    <row r="10" spans="1:16" x14ac:dyDescent="0.2">
      <c r="A10">
        <v>9</v>
      </c>
      <c r="B10" s="14">
        <v>0</v>
      </c>
      <c r="C10" s="14">
        <v>0</v>
      </c>
      <c r="D10" s="14">
        <v>158.11000000000001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270.47000000000003</v>
      </c>
      <c r="L10" s="14">
        <v>0</v>
      </c>
      <c r="M10" s="14">
        <v>0</v>
      </c>
      <c r="N10" s="14">
        <v>285.91272199999997</v>
      </c>
      <c r="O10" s="14">
        <v>147.500428</v>
      </c>
      <c r="P10" s="14">
        <v>135.953304</v>
      </c>
    </row>
    <row r="11" spans="1:16" x14ac:dyDescent="0.2">
      <c r="A11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</row>
    <row r="12" spans="1:16" x14ac:dyDescent="0.2">
      <c r="A12">
        <v>11</v>
      </c>
      <c r="B12" s="14">
        <v>0</v>
      </c>
      <c r="C12" s="14">
        <v>68.040000000000006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180.71</v>
      </c>
      <c r="L12" s="14">
        <v>0</v>
      </c>
      <c r="M12" s="14">
        <v>0</v>
      </c>
      <c r="N12" s="14">
        <v>183.08463499999999</v>
      </c>
      <c r="O12" s="14">
        <v>0</v>
      </c>
      <c r="P12" s="14">
        <v>0</v>
      </c>
    </row>
    <row r="13" spans="1:16" x14ac:dyDescent="0.2">
      <c r="A13">
        <v>12</v>
      </c>
      <c r="B13" s="14">
        <v>0</v>
      </c>
      <c r="C13" s="14">
        <v>0</v>
      </c>
      <c r="D13" s="14">
        <v>86.77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139.52000000000001</v>
      </c>
      <c r="M13" s="14">
        <v>0</v>
      </c>
      <c r="N13" s="14">
        <v>0</v>
      </c>
      <c r="O13" s="14">
        <v>69.692421999999993</v>
      </c>
      <c r="P13" s="14">
        <v>23.649449000000001</v>
      </c>
    </row>
    <row r="14" spans="1:16" x14ac:dyDescent="0.2">
      <c r="A14">
        <v>13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16.436316999999999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</row>
    <row r="15" spans="1:16" x14ac:dyDescent="0.2">
      <c r="A15">
        <v>14</v>
      </c>
      <c r="B15" s="14">
        <v>0</v>
      </c>
      <c r="C15" s="14">
        <v>0</v>
      </c>
      <c r="D15" s="14">
        <v>21.259093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147.500428</v>
      </c>
      <c r="K15" s="14">
        <v>0</v>
      </c>
      <c r="L15" s="14">
        <v>0</v>
      </c>
      <c r="M15" s="14">
        <v>69.692421999999993</v>
      </c>
      <c r="N15" s="14">
        <v>0</v>
      </c>
      <c r="O15" s="14">
        <v>0</v>
      </c>
      <c r="P15" s="14">
        <v>53.895164000000001</v>
      </c>
    </row>
    <row r="16" spans="1:16" x14ac:dyDescent="0.2">
      <c r="A16">
        <v>15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135.953304</v>
      </c>
      <c r="K16" s="14">
        <v>0</v>
      </c>
      <c r="L16" s="14">
        <v>0</v>
      </c>
      <c r="M16" s="14">
        <v>23.649449000000001</v>
      </c>
      <c r="N16" s="14">
        <v>0</v>
      </c>
      <c r="O16" s="14">
        <v>53.895164000000001</v>
      </c>
      <c r="P16" s="14">
        <v>0</v>
      </c>
    </row>
  </sheetData>
  <conditionalFormatting sqref="B2:P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6279-72E1-7644-A119-639112AE18B4}">
  <dimension ref="A1:P16"/>
  <sheetViews>
    <sheetView workbookViewId="0">
      <selection activeCell="R7" sqref="R7"/>
    </sheetView>
  </sheetViews>
  <sheetFormatPr baseColWidth="10" defaultRowHeight="16" x14ac:dyDescent="0.2"/>
  <sheetData>
    <row r="1" spans="1:16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>
        <v>1</v>
      </c>
      <c r="B2">
        <v>0</v>
      </c>
      <c r="C2">
        <v>29.63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2</v>
      </c>
      <c r="B3">
        <v>29.63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92.83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11</v>
      </c>
      <c r="B12">
        <v>0</v>
      </c>
      <c r="C12">
        <v>92.83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170.48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conditionalFormatting sqref="B2:P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3236-A50F-FC49-A04D-1806861ACD92}">
  <dimension ref="A1:P16"/>
  <sheetViews>
    <sheetView topLeftCell="A2" workbookViewId="0">
      <selection activeCell="A10" sqref="A10:XFD10"/>
    </sheetView>
  </sheetViews>
  <sheetFormatPr baseColWidth="10" defaultRowHeight="16" x14ac:dyDescent="0.2"/>
  <sheetData>
    <row r="1" spans="1:16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>155*1.852</f>
        <v>287.06</v>
      </c>
      <c r="O3">
        <v>0</v>
      </c>
      <c r="P3">
        <v>0</v>
      </c>
    </row>
    <row r="4" spans="1:16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368*1.852</f>
        <v>681.53600000000006</v>
      </c>
      <c r="J6">
        <v>0</v>
      </c>
      <c r="K6">
        <v>0</v>
      </c>
      <c r="L6">
        <v>0</v>
      </c>
      <c r="M6">
        <v>0</v>
      </c>
      <c r="N6">
        <f>559*1.852</f>
        <v>1035.268</v>
      </c>
      <c r="O6">
        <v>0</v>
      </c>
      <c r="P6">
        <v>0</v>
      </c>
    </row>
    <row r="7" spans="1:16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>249*1.852</f>
        <v>461.14800000000002</v>
      </c>
      <c r="O9">
        <f>204*1.852</f>
        <v>377.80799999999999</v>
      </c>
      <c r="P9">
        <v>0</v>
      </c>
    </row>
    <row r="10" spans="1:16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14</v>
      </c>
      <c r="B15">
        <v>0</v>
      </c>
      <c r="C15">
        <f>140*1.852</f>
        <v>259.28000000000003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>165*1.852</f>
        <v>305.58000000000004</v>
      </c>
      <c r="O15">
        <v>0</v>
      </c>
      <c r="P15">
        <v>0</v>
      </c>
    </row>
    <row r="16" spans="1:16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>172*1.852</f>
        <v>318.54400000000004</v>
      </c>
      <c r="O16">
        <f>48*1.852</f>
        <v>88.896000000000001</v>
      </c>
      <c r="P16">
        <v>0</v>
      </c>
    </row>
  </sheetData>
  <conditionalFormatting sqref="B2:P16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C1E6-1285-D44B-B6C2-C7149A0B8772}">
  <dimension ref="A1:M28"/>
  <sheetViews>
    <sheetView workbookViewId="0">
      <selection activeCell="D18" sqref="D18"/>
    </sheetView>
  </sheetViews>
  <sheetFormatPr baseColWidth="10" defaultRowHeight="16" x14ac:dyDescent="0.2"/>
  <cols>
    <col min="1" max="1" width="16.33203125" customWidth="1"/>
    <col min="2" max="2" width="12.83203125" customWidth="1"/>
    <col min="4" max="4" width="28" customWidth="1"/>
    <col min="5" max="5" width="11.1640625" bestFit="1" customWidth="1"/>
  </cols>
  <sheetData>
    <row r="1" spans="1:13" x14ac:dyDescent="0.2">
      <c r="A1" s="7" t="s">
        <v>20</v>
      </c>
      <c r="B1" s="8" t="s">
        <v>21</v>
      </c>
      <c r="C1" s="8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x14ac:dyDescent="0.2">
      <c r="A2" s="1" t="s">
        <v>8</v>
      </c>
      <c r="B2" s="5">
        <v>23.644279999999998</v>
      </c>
      <c r="C2" s="5">
        <v>38.050190000000001</v>
      </c>
      <c r="D2" s="6">
        <v>190800000</v>
      </c>
      <c r="E2" s="1" t="s">
        <v>18</v>
      </c>
      <c r="F2" s="1" t="s">
        <v>33</v>
      </c>
      <c r="G2" s="1" t="s">
        <v>38</v>
      </c>
      <c r="H2" s="1" t="s">
        <v>40</v>
      </c>
      <c r="K2" s="1">
        <v>2021</v>
      </c>
      <c r="L2" s="10" t="s">
        <v>49</v>
      </c>
      <c r="M2" t="s">
        <v>50</v>
      </c>
    </row>
    <row r="3" spans="1:13" x14ac:dyDescent="0.2">
      <c r="A3" s="1" t="s">
        <v>9</v>
      </c>
      <c r="B3" s="5">
        <v>23.597940000000001</v>
      </c>
      <c r="C3" s="5">
        <v>38.030900000000003</v>
      </c>
      <c r="D3" s="6">
        <v>1460000000</v>
      </c>
      <c r="E3" s="1" t="s">
        <v>19</v>
      </c>
      <c r="F3" s="1" t="s">
        <v>34</v>
      </c>
      <c r="G3" s="1" t="s">
        <v>39</v>
      </c>
      <c r="H3" s="1" t="s">
        <v>40</v>
      </c>
      <c r="K3" s="1">
        <v>2021</v>
      </c>
      <c r="L3" s="10" t="s">
        <v>49</v>
      </c>
      <c r="M3" t="s">
        <v>51</v>
      </c>
    </row>
    <row r="4" spans="1:13" x14ac:dyDescent="0.2">
      <c r="A4" s="1" t="s">
        <v>10</v>
      </c>
      <c r="B4" s="5">
        <v>22.885539999999999</v>
      </c>
      <c r="C4" s="5">
        <v>40.685319999999997</v>
      </c>
      <c r="D4" s="6">
        <v>292000000</v>
      </c>
      <c r="E4" s="1" t="s">
        <v>19</v>
      </c>
      <c r="F4" s="1" t="s">
        <v>34</v>
      </c>
      <c r="G4" s="1" t="s">
        <v>39</v>
      </c>
      <c r="H4" s="1" t="s">
        <v>41</v>
      </c>
      <c r="K4" s="1">
        <v>2021</v>
      </c>
      <c r="L4" s="10" t="s">
        <v>49</v>
      </c>
      <c r="M4" t="s">
        <v>52</v>
      </c>
    </row>
    <row r="5" spans="1:13" x14ac:dyDescent="0.2">
      <c r="A5" s="1" t="s">
        <v>11</v>
      </c>
      <c r="B5" s="5">
        <v>23.502859999999998</v>
      </c>
      <c r="C5" s="5">
        <v>38.04036</v>
      </c>
      <c r="D5" s="6">
        <v>1980000000</v>
      </c>
      <c r="E5" s="1" t="s">
        <v>19</v>
      </c>
      <c r="F5" s="1" t="s">
        <v>34</v>
      </c>
      <c r="G5" s="1" t="s">
        <v>39</v>
      </c>
      <c r="H5" s="1" t="s">
        <v>42</v>
      </c>
      <c r="K5" s="1">
        <v>2021</v>
      </c>
      <c r="L5" s="10" t="s">
        <v>49</v>
      </c>
      <c r="M5" t="s">
        <v>53</v>
      </c>
    </row>
    <row r="6" spans="1:13" x14ac:dyDescent="0.2">
      <c r="A6" s="1" t="s">
        <v>12</v>
      </c>
      <c r="B6" s="5">
        <v>24.06541</v>
      </c>
      <c r="C6" s="5">
        <v>38.379539999999999</v>
      </c>
      <c r="D6" s="6">
        <v>809000000</v>
      </c>
      <c r="E6" s="1" t="s">
        <v>18</v>
      </c>
      <c r="F6" s="1" t="s">
        <v>35</v>
      </c>
      <c r="G6" s="1" t="s">
        <v>38</v>
      </c>
      <c r="H6" s="1" t="s">
        <v>43</v>
      </c>
      <c r="K6" s="1">
        <v>2021</v>
      </c>
      <c r="L6" s="10" t="s">
        <v>49</v>
      </c>
      <c r="M6" t="s">
        <v>54</v>
      </c>
    </row>
    <row r="7" spans="1:13" x14ac:dyDescent="0.2">
      <c r="A7" s="1" t="s">
        <v>13</v>
      </c>
      <c r="B7" s="5">
        <v>22.96998</v>
      </c>
      <c r="C7" s="5">
        <v>39.534120000000001</v>
      </c>
      <c r="D7" s="6">
        <v>1080000000</v>
      </c>
      <c r="E7" s="1" t="s">
        <v>18</v>
      </c>
      <c r="F7" s="1" t="s">
        <v>35</v>
      </c>
      <c r="G7" s="1" t="s">
        <v>38</v>
      </c>
      <c r="H7" s="1" t="s">
        <v>44</v>
      </c>
      <c r="K7" s="1">
        <v>2021</v>
      </c>
      <c r="L7" s="10" t="s">
        <v>49</v>
      </c>
      <c r="M7" t="s">
        <v>55</v>
      </c>
    </row>
    <row r="8" spans="1:13" x14ac:dyDescent="0.2">
      <c r="A8" s="1" t="s">
        <v>14</v>
      </c>
      <c r="B8" s="5">
        <v>23.07658</v>
      </c>
      <c r="C8" s="5">
        <v>37.922330000000002</v>
      </c>
      <c r="D8" s="6">
        <v>2140000000</v>
      </c>
      <c r="E8" s="1" t="s">
        <v>19</v>
      </c>
      <c r="F8" s="1" t="s">
        <v>36</v>
      </c>
      <c r="G8" s="1" t="s">
        <v>39</v>
      </c>
      <c r="H8" s="1" t="s">
        <v>45</v>
      </c>
      <c r="K8" s="1">
        <v>2021</v>
      </c>
      <c r="L8" s="10" t="s">
        <v>49</v>
      </c>
      <c r="M8" t="s">
        <v>56</v>
      </c>
    </row>
    <row r="9" spans="1:13" x14ac:dyDescent="0.2">
      <c r="A9" s="1" t="s">
        <v>15</v>
      </c>
      <c r="B9" s="5">
        <v>21.793769999999999</v>
      </c>
      <c r="C9" s="5">
        <v>38.534520000000001</v>
      </c>
      <c r="D9" s="6">
        <v>724000000</v>
      </c>
      <c r="E9" s="1" t="s">
        <v>18</v>
      </c>
      <c r="F9" s="1" t="s">
        <v>37</v>
      </c>
      <c r="G9" s="1" t="s">
        <v>38</v>
      </c>
      <c r="H9" s="1" t="s">
        <v>46</v>
      </c>
      <c r="K9" s="1">
        <v>2021</v>
      </c>
      <c r="L9" s="10" t="s">
        <v>49</v>
      </c>
      <c r="M9" t="s">
        <v>57</v>
      </c>
    </row>
    <row r="10" spans="1:13" x14ac:dyDescent="0.2">
      <c r="A10" s="1" t="s">
        <v>16</v>
      </c>
      <c r="B10" s="5">
        <v>23.53058</v>
      </c>
      <c r="C10" s="5">
        <v>38.131459999999997</v>
      </c>
      <c r="D10" s="6">
        <v>1480000000</v>
      </c>
      <c r="E10" s="1" t="s">
        <v>18</v>
      </c>
      <c r="F10" s="1" t="s">
        <v>37</v>
      </c>
      <c r="G10" s="1" t="s">
        <v>38</v>
      </c>
      <c r="H10" s="1" t="s">
        <v>47</v>
      </c>
      <c r="K10" s="1">
        <v>2021</v>
      </c>
      <c r="L10" s="10" t="s">
        <v>49</v>
      </c>
      <c r="M10" t="s">
        <v>58</v>
      </c>
    </row>
    <row r="11" spans="1:13" x14ac:dyDescent="0.2">
      <c r="A11" s="1" t="s">
        <v>17</v>
      </c>
      <c r="B11" s="5">
        <v>22.930019999999999</v>
      </c>
      <c r="C11" s="5">
        <v>40.899099999999997</v>
      </c>
      <c r="D11" s="6">
        <v>678000000</v>
      </c>
      <c r="E11" s="1" t="s">
        <v>18</v>
      </c>
      <c r="F11" s="1" t="s">
        <v>37</v>
      </c>
      <c r="G11" s="1" t="s">
        <v>38</v>
      </c>
      <c r="H11" s="1" t="s">
        <v>48</v>
      </c>
      <c r="K11" s="1">
        <v>2021</v>
      </c>
      <c r="L11" s="10" t="s">
        <v>49</v>
      </c>
      <c r="M11" t="s">
        <v>59</v>
      </c>
    </row>
    <row r="14" spans="1:13" x14ac:dyDescent="0.2">
      <c r="A14" s="7" t="s">
        <v>63</v>
      </c>
      <c r="B14" s="7" t="s">
        <v>62</v>
      </c>
    </row>
    <row r="15" spans="1:13" x14ac:dyDescent="0.2">
      <c r="A15" s="1" t="s">
        <v>64</v>
      </c>
      <c r="B15">
        <v>1000000000</v>
      </c>
      <c r="D15" s="12"/>
      <c r="E15" s="12"/>
    </row>
    <row r="16" spans="1:13" x14ac:dyDescent="0.2">
      <c r="A16" s="1" t="s">
        <v>65</v>
      </c>
      <c r="B16">
        <v>3000000000</v>
      </c>
    </row>
    <row r="18" spans="1:3" x14ac:dyDescent="0.2">
      <c r="A18" s="13" t="s">
        <v>69</v>
      </c>
      <c r="B18" s="13" t="s">
        <v>21</v>
      </c>
      <c r="C18" s="13" t="s">
        <v>22</v>
      </c>
    </row>
    <row r="19" spans="1:3" x14ac:dyDescent="0.2">
      <c r="A19" t="s">
        <v>70</v>
      </c>
      <c r="B19">
        <v>21.7346</v>
      </c>
      <c r="C19">
        <v>38.246600000000001</v>
      </c>
    </row>
    <row r="20" spans="1:3" x14ac:dyDescent="0.2">
      <c r="A20" t="s">
        <v>71</v>
      </c>
      <c r="B20">
        <v>23.727499999999999</v>
      </c>
      <c r="C20">
        <v>37.983800000000002</v>
      </c>
    </row>
    <row r="21" spans="1:3" x14ac:dyDescent="0.2">
      <c r="A21" t="s">
        <v>72</v>
      </c>
      <c r="B21">
        <v>22.944400000000002</v>
      </c>
      <c r="C21">
        <v>40.640099999999997</v>
      </c>
    </row>
    <row r="22" spans="1:3" x14ac:dyDescent="0.2">
      <c r="A22" t="s">
        <v>73</v>
      </c>
      <c r="B22">
        <v>22.886240000000001</v>
      </c>
      <c r="C22">
        <v>40.860990000000001</v>
      </c>
    </row>
    <row r="23" spans="1:3" x14ac:dyDescent="0.2">
      <c r="A23" t="s">
        <v>67</v>
      </c>
      <c r="B23">
        <v>22.549869999999999</v>
      </c>
      <c r="C23">
        <v>40.12547</v>
      </c>
    </row>
    <row r="24" spans="1:3" x14ac:dyDescent="0.2">
      <c r="A24" t="s">
        <v>74</v>
      </c>
      <c r="B24">
        <v>22.42287</v>
      </c>
      <c r="C24">
        <v>39.696390000000001</v>
      </c>
    </row>
    <row r="25" spans="1:3" x14ac:dyDescent="0.2">
      <c r="A25" t="s">
        <v>75</v>
      </c>
      <c r="B25">
        <v>21.763590000000001</v>
      </c>
      <c r="C25">
        <v>39.545679999999997</v>
      </c>
    </row>
    <row r="26" spans="1:3" x14ac:dyDescent="0.2">
      <c r="A26" t="s">
        <v>76</v>
      </c>
      <c r="B26">
        <v>22.529409999999999</v>
      </c>
      <c r="C26">
        <v>40.636470000000003</v>
      </c>
    </row>
    <row r="27" spans="1:3" x14ac:dyDescent="0.2">
      <c r="A27" t="s">
        <v>77</v>
      </c>
      <c r="B27">
        <v>22.932590000000001</v>
      </c>
      <c r="C27">
        <v>37.921080000000003</v>
      </c>
    </row>
    <row r="28" spans="1:3" x14ac:dyDescent="0.2">
      <c r="A28" t="s">
        <v>68</v>
      </c>
      <c r="B28">
        <v>22.372969999999999</v>
      </c>
      <c r="C28">
        <v>38.89087</v>
      </c>
    </row>
  </sheetData>
  <phoneticPr fontId="5" type="noConversion"/>
  <hyperlinks>
    <hyperlink ref="L2" r:id="rId1" xr:uid="{79C0E69E-7ACC-AA44-A031-ED44A146E41F}"/>
    <hyperlink ref="L3:L11" r:id="rId2" display="https://industry.eea.europa.eu/" xr:uid="{98EA3C8B-11F8-BB44-9D67-049E886D931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D18A-9082-ED4D-89C8-9605222E9461}">
  <dimension ref="A1"/>
  <sheetViews>
    <sheetView workbookViewId="0">
      <selection activeCell="J25" sqref="J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nodes</vt:lpstr>
      <vt:lpstr>truck</vt:lpstr>
      <vt:lpstr>pipeline</vt:lpstr>
      <vt:lpstr>railway</vt:lpstr>
      <vt:lpstr>ship</vt:lpstr>
      <vt:lpstr>raw_data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X. (Xiao)</dc:creator>
  <cp:lastModifiedBy>Yang, X. (Xiao)</cp:lastModifiedBy>
  <dcterms:created xsi:type="dcterms:W3CDTF">2025-08-13T23:03:42Z</dcterms:created>
  <dcterms:modified xsi:type="dcterms:W3CDTF">2025-10-03T20:44:47Z</dcterms:modified>
</cp:coreProperties>
</file>