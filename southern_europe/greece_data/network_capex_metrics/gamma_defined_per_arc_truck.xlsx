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ykk/Documents/GitHub/AdOpT-NET0_XiaoY/southern_europe/greece_data/network_capex_metrics/"/>
    </mc:Choice>
  </mc:AlternateContent>
  <xr:revisionPtr revIDLastSave="0" documentId="13_ncr:1_{FE13BD80-722A-704B-BC32-9E784D970C7E}" xr6:coauthVersionLast="47" xr6:coauthVersionMax="47" xr10:uidLastSave="{00000000-0000-0000-0000-000000000000}"/>
  <bookViews>
    <workbookView xWindow="0" yWindow="7600" windowWidth="30240" windowHeight="10420" activeTab="3" xr2:uid="{00000000-000D-0000-FFFF-FFFF00000000}"/>
  </bookViews>
  <sheets>
    <sheet name="gamma1" sheetId="1" r:id="rId1"/>
    <sheet name="gamma2" sheetId="2" r:id="rId2"/>
    <sheet name="gamma3" sheetId="3" r:id="rId3"/>
    <sheet name="gamma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2" l="1"/>
  <c r="P13" i="2"/>
  <c r="O16" i="2"/>
  <c r="O12" i="2"/>
  <c r="N3" i="2"/>
  <c r="M16" i="2"/>
  <c r="N2" i="2"/>
  <c r="L15" i="2"/>
  <c r="L13" i="2"/>
  <c r="L3" i="2"/>
  <c r="K3" i="2"/>
  <c r="K2" i="2"/>
  <c r="J9" i="2"/>
  <c r="I8" i="2"/>
  <c r="H9" i="2"/>
  <c r="H6" i="2"/>
  <c r="C12" i="2"/>
  <c r="B3" i="2"/>
  <c r="C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>
      <selection activeCell="B2" sqref="B2:P16"/>
    </sheetView>
  </sheetViews>
  <sheetFormatPr baseColWidth="10" defaultColWidth="8.83203125" defaultRowHeight="15" x14ac:dyDescent="0.2"/>
  <sheetData>
    <row r="1" spans="1:16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>
      <selection activeCell="S10" sqref="S10"/>
    </sheetView>
  </sheetViews>
  <sheetFormatPr baseColWidth="10" defaultColWidth="8.83203125" defaultRowHeight="15" x14ac:dyDescent="0.2"/>
  <sheetData>
    <row r="1" spans="1:16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2">
      <c r="A2" s="1">
        <v>1</v>
      </c>
      <c r="B2">
        <v>0</v>
      </c>
      <c r="C2" s="2">
        <f>(5.58/34.13+0.15)*34.13</f>
        <v>10.699499999999999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f>(5.58/150.78+0.15)*150.78</f>
        <v>28.196999999999999</v>
      </c>
      <c r="L2">
        <v>0</v>
      </c>
      <c r="M2">
        <v>0</v>
      </c>
      <c r="N2" s="2">
        <f>(5.58/155.807395+0.15)*155.807395</f>
        <v>28.951109250000002</v>
      </c>
      <c r="O2">
        <v>0</v>
      </c>
      <c r="P2">
        <v>0</v>
      </c>
    </row>
    <row r="3" spans="1:16" x14ac:dyDescent="0.2">
      <c r="A3" s="1">
        <v>2</v>
      </c>
      <c r="B3" s="2">
        <f>(5.58/34.13+0.15)*34.13</f>
        <v>10.699499999999999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2">
        <f>(5.58/138.02+0.15)*138.02</f>
        <v>26.283000000000001</v>
      </c>
      <c r="L3" s="2">
        <f>(5.58/81.47+0.15)*81.47</f>
        <v>17.8005</v>
      </c>
      <c r="M3">
        <v>0</v>
      </c>
      <c r="N3" s="2">
        <f>(5.58/141.652832+0.15)*141.652832</f>
        <v>26.827924799999998</v>
      </c>
      <c r="O3">
        <v>0</v>
      </c>
      <c r="P3">
        <v>0</v>
      </c>
    </row>
    <row r="4" spans="1:16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2">
        <f>(5.58/40.96+0.15)*40.96</f>
        <v>11.724000000000002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2">
        <f>(5.58/12.33+0.15)*12.33</f>
        <v>7.4295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2">
        <f>(5.58/12.33+0.15)*12.33</f>
        <v>7.4295</v>
      </c>
      <c r="I9">
        <v>0</v>
      </c>
      <c r="J9" s="2">
        <f>(5.58/116.16+0.15)*116.16</f>
        <v>23.003999999999998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 s="1">
        <v>11</v>
      </c>
      <c r="B12">
        <v>0</v>
      </c>
      <c r="C12" s="2">
        <f>(5.58/81.47+0.15)*81.47</f>
        <v>17.8005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2">
        <f>(5.58/115.164067+0.15)*115.164067</f>
        <v>22.854610050000002</v>
      </c>
      <c r="P12">
        <v>0</v>
      </c>
    </row>
    <row r="13" spans="1:16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2">
        <f>(5.58/157.06+0.15)*157.06</f>
        <v>29.138999999999999</v>
      </c>
      <c r="M13">
        <v>0</v>
      </c>
      <c r="N13">
        <v>0</v>
      </c>
      <c r="O13">
        <v>0</v>
      </c>
      <c r="P13" s="2">
        <f>(5.58/25.329825+0.15)*25.329825</f>
        <v>9.3794737500000007</v>
      </c>
    </row>
    <row r="14" spans="1:16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2">
        <f>(5.58/115.164067+0.15)*115.164067</f>
        <v>22.854610050000002</v>
      </c>
      <c r="M15">
        <v>0</v>
      </c>
      <c r="N15">
        <v>0</v>
      </c>
      <c r="O15">
        <v>0</v>
      </c>
      <c r="P15" s="2">
        <f>(5.58/83.145487+0.15)*83.145487</f>
        <v>18.051823049999999</v>
      </c>
    </row>
    <row r="16" spans="1:16" x14ac:dyDescent="0.2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2">
        <f>(5.58/25.329825+0.15)*25.329825</f>
        <v>9.3794737500000007</v>
      </c>
      <c r="N16">
        <v>0</v>
      </c>
      <c r="O16" s="2">
        <f>(5.58/83.145487+0.15)*83.145487</f>
        <v>18.051823049999999</v>
      </c>
      <c r="P1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workbookViewId="0"/>
  </sheetViews>
  <sheetFormatPr baseColWidth="10" defaultColWidth="8.83203125" defaultRowHeight="15" x14ac:dyDescent="0.2"/>
  <sheetData>
    <row r="1" spans="1:16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6"/>
  <sheetViews>
    <sheetView tabSelected="1" workbookViewId="0"/>
  </sheetViews>
  <sheetFormatPr baseColWidth="10" defaultColWidth="8.83203125" defaultRowHeight="15" x14ac:dyDescent="0.2"/>
  <sheetData>
    <row r="1" spans="1:16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gamma1</vt:lpstr>
      <vt:lpstr>gamma2</vt:lpstr>
      <vt:lpstr>gamma3</vt:lpstr>
      <vt:lpstr>gamma4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X. (Xiao)</cp:lastModifiedBy>
  <dcterms:created xsi:type="dcterms:W3CDTF">2025-10-03T21:03:09Z</dcterms:created>
  <dcterms:modified xsi:type="dcterms:W3CDTF">2025-10-05T17:21:24Z</dcterms:modified>
</cp:coreProperties>
</file>