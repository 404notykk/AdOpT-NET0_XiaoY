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italy_data/network_capex_metrics/"/>
    </mc:Choice>
  </mc:AlternateContent>
  <xr:revisionPtr revIDLastSave="0" documentId="13_ncr:1_{56A88851-F5D0-4A4A-825F-0DD3C6B25359}" xr6:coauthVersionLast="47" xr6:coauthVersionMax="47" xr10:uidLastSave="{00000000-0000-0000-0000-000000000000}"/>
  <bookViews>
    <workbookView xWindow="0" yWindow="1580" windowWidth="30240" windowHeight="15340" activeTab="1" xr2:uid="{00000000-000D-0000-FFFF-FFFF00000000}"/>
  </bookViews>
  <sheets>
    <sheet name="gamma1" sheetId="1" r:id="rId1"/>
    <sheet name="gamma2" sheetId="2" r:id="rId2"/>
    <sheet name="gamma3" sheetId="3" r:id="rId3"/>
    <sheet name="gamm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2" i="2" l="1"/>
  <c r="AM35" i="2"/>
  <c r="AL35" i="2"/>
  <c r="AL31" i="2"/>
  <c r="AI39" i="2"/>
  <c r="AE27" i="2"/>
  <c r="AA24" i="2"/>
  <c r="X16" i="2"/>
  <c r="P12" i="2"/>
  <c r="P9" i="2"/>
  <c r="P8" i="2"/>
  <c r="I8" i="2"/>
  <c r="I4" i="2"/>
  <c r="H9" i="2"/>
  <c r="D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5"/>
  <sheetViews>
    <sheetView tabSelected="1" topLeftCell="B1" workbookViewId="0">
      <selection activeCell="AU44" sqref="AU44"/>
    </sheetView>
  </sheetViews>
  <sheetFormatPr baseColWidth="10" defaultColWidth="8.83203125" defaultRowHeight="15" x14ac:dyDescent="0.2"/>
  <sheetData>
    <row r="1" spans="1:45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</row>
    <row r="2" spans="1:45" x14ac:dyDescent="0.2">
      <c r="A2">
        <v>1</v>
      </c>
      <c r="B2">
        <v>0</v>
      </c>
      <c r="C2">
        <v>0</v>
      </c>
      <c r="D2" s="2">
        <f>(28.9/64.79586+0.07)*64.79586</f>
        <v>33.435710200000003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f>(28.9/45.552016+0.07)*45.552016</f>
        <v>32.088641120000005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(28.9/38.486625+0.07)*38.486625</f>
        <v>31.59406375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f>(28.9/46.840426+0.07)*46.840426</f>
        <v>32.178829819999997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f>(28.9/38.486625+0.07)*38.486625</f>
        <v>31.59406375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">
        <f>(28.9/51.226878+0.07)*51.226878</f>
        <v>32.485881460000002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2">
        <f>(28.9/51.236689+0.07)*51.236689</f>
        <v>32.486568230000003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2">
        <f>(28.9/89.055485+0.07)*89.055485</f>
        <v>35.133883949999998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2">
        <f>(28.9/70.052842+0.07)*70.052842</f>
        <v>33.803698940000004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2">
        <f>(28.9/126.437543+0.07)*126.437543</f>
        <v>37.75062801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>
        <f>(28.9/82.8083+0.07)*82.8083</f>
        <v>34.696581000000002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>
        <f>(28.9/145.744191+0.07)*145.744191</f>
        <v>39.102093369999999</v>
      </c>
      <c r="AM35" s="2">
        <f>(28.9/35.027961+0.07)*35.027961</f>
        <v>31.351957269999996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s="2">
        <f>(28.9/35.027961+0.07)*35.027961</f>
        <v>31.351957269999996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2">
        <f>(28.9/161.849448+0.07)*161.849448</f>
        <v>40.229461360000002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</sheetData>
  <conditionalFormatting sqref="B2:AS45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4"/>
  <sheetViews>
    <sheetView workbookViewId="0"/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4"/>
  <sheetViews>
    <sheetView workbookViewId="0"/>
  </sheetViews>
  <sheetFormatPr baseColWidth="10" defaultColWidth="8.83203125" defaultRowHeight="15" x14ac:dyDescent="0.2"/>
  <sheetData>
    <row r="1" spans="1:44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</row>
    <row r="2" spans="1:44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gamma1</vt:lpstr>
      <vt:lpstr>gamma2</vt:lpstr>
      <vt:lpstr>gamma3</vt:lpstr>
      <vt:lpstr>gamma4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2025-10-03T19:40:28Z</dcterms:created>
  <dcterms:modified xsi:type="dcterms:W3CDTF">2026-05-28T16:41:01Z</dcterms:modified>
</cp:coreProperties>
</file>