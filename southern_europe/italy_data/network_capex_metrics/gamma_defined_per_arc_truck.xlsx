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italy_data/network_capex_metrics/"/>
    </mc:Choice>
  </mc:AlternateContent>
  <xr:revisionPtr revIDLastSave="0" documentId="13_ncr:1_{AFE14606-87B3-3B47-919F-7FD6A5721FCB}" xr6:coauthVersionLast="47" xr6:coauthVersionMax="47" xr10:uidLastSave="{00000000-0000-0000-0000-000000000000}"/>
  <bookViews>
    <workbookView xWindow="0" yWindow="760" windowWidth="30240" windowHeight="17260" activeTab="1" xr2:uid="{00000000-000D-0000-FFFF-FFFF00000000}"/>
  </bookViews>
  <sheets>
    <sheet name="gamma1" sheetId="1" r:id="rId1"/>
    <sheet name="gamma2" sheetId="2" r:id="rId2"/>
    <sheet name="gamma3" sheetId="3" r:id="rId3"/>
    <sheet name="gamm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8" i="2" l="1"/>
  <c r="AO36" i="2"/>
  <c r="AM42" i="2"/>
  <c r="AM40" i="2"/>
  <c r="AM37" i="2"/>
  <c r="AM35" i="2"/>
  <c r="AM34" i="2"/>
  <c r="AL41" i="2"/>
  <c r="AL36" i="2"/>
  <c r="AL31" i="2"/>
  <c r="AL30" i="2"/>
  <c r="AK42" i="2"/>
  <c r="AK40" i="2"/>
  <c r="AK34" i="2"/>
  <c r="AJ31" i="2"/>
  <c r="AI37" i="2"/>
  <c r="AI34" i="2"/>
  <c r="AI32" i="2"/>
  <c r="AI27" i="2"/>
  <c r="AH29" i="2"/>
  <c r="AG32" i="2"/>
  <c r="AG30" i="2"/>
  <c r="AG27" i="2"/>
  <c r="AG21" i="2"/>
  <c r="AF27" i="2"/>
  <c r="AE30" i="2"/>
  <c r="AE28" i="2"/>
  <c r="AD28" i="2"/>
  <c r="AD27" i="2"/>
  <c r="AD21" i="2"/>
  <c r="AB27" i="2"/>
  <c r="AB26" i="2"/>
  <c r="AA29" i="2"/>
  <c r="AA25" i="2"/>
  <c r="AA21" i="2"/>
  <c r="Z24" i="2"/>
  <c r="Z21" i="2"/>
  <c r="Y24" i="2"/>
  <c r="X23" i="2"/>
  <c r="X21" i="2"/>
  <c r="X20" i="2"/>
  <c r="X16" i="2"/>
  <c r="X15" i="2"/>
  <c r="U23" i="2"/>
  <c r="U20" i="2"/>
  <c r="U17" i="2"/>
  <c r="U16" i="2"/>
  <c r="T15" i="2"/>
  <c r="S18" i="2"/>
  <c r="S12" i="2"/>
  <c r="R12" i="2"/>
  <c r="Q16" i="2"/>
  <c r="Q9" i="2"/>
  <c r="P15" i="2"/>
  <c r="P14" i="2"/>
  <c r="P9" i="2"/>
  <c r="O19" i="2"/>
  <c r="O14" i="2"/>
  <c r="O13" i="2"/>
  <c r="N9" i="2"/>
  <c r="N8" i="2"/>
  <c r="N7" i="2"/>
  <c r="M12" i="2"/>
  <c r="M7" i="2"/>
  <c r="L5" i="2"/>
  <c r="K3" i="2"/>
  <c r="I8" i="2"/>
  <c r="H14" i="2"/>
  <c r="H9" i="2"/>
  <c r="H7" i="2"/>
  <c r="G13" i="2"/>
  <c r="G8" i="2"/>
  <c r="I4" i="2"/>
  <c r="H4" i="2"/>
  <c r="D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topLeftCell="Q1" workbookViewId="0">
      <selection activeCell="B2" sqref="B2:AR44"/>
    </sheetView>
  </sheetViews>
  <sheetFormatPr baseColWidth="10" defaultColWidth="8.83203125" defaultRowHeight="15" x14ac:dyDescent="0.2"/>
  <sheetData>
    <row r="1" spans="1:44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</row>
    <row r="2" spans="1:44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5"/>
  <sheetViews>
    <sheetView tabSelected="1" workbookViewId="0">
      <selection activeCell="AU39" sqref="AU39"/>
    </sheetView>
  </sheetViews>
  <sheetFormatPr baseColWidth="10" defaultColWidth="8.83203125" defaultRowHeight="15" x14ac:dyDescent="0.2"/>
  <sheetData>
    <row r="1" spans="1:45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</row>
    <row r="2" spans="1:45" x14ac:dyDescent="0.2">
      <c r="A2">
        <v>1</v>
      </c>
      <c r="B2">
        <v>0</v>
      </c>
      <c r="C2">
        <v>0</v>
      </c>
      <c r="D2" s="2">
        <f>(5.58/67.498677+0.15)*67.498677</f>
        <v>15.704801549999999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3">
        <f>(5.58/162.753703+0.15)*162.753703</f>
        <v>29.993055449999996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2">
        <f>(5.58/51.447755+0.15)*51.447755</f>
        <v>13.297163250000001</v>
      </c>
      <c r="I4" s="2">
        <f>(5.58/46.266944+0.15)*46.266944</f>
        <v>12.520041600000001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2">
        <f>(5.58/44.545323+0.15)*44.545323</f>
        <v>12.261798450000002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2">
        <f>(5.58/20.802578+0.15)*20.802578</f>
        <v>8.7003866999999993</v>
      </c>
      <c r="I7">
        <v>0</v>
      </c>
      <c r="J7">
        <v>0</v>
      </c>
      <c r="K7">
        <v>0</v>
      </c>
      <c r="L7">
        <v>0</v>
      </c>
      <c r="M7" s="2">
        <f>(5.58/25.78356+0.15)*25.78356</f>
        <v>9.447534000000001</v>
      </c>
      <c r="N7" s="2">
        <f>(5.58/22.862441+0.15)*22.862441</f>
        <v>9.00936615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 s="2">
        <f>(5.58/20.802578+0.15)*20.802578</f>
        <v>8.7003866999999993</v>
      </c>
      <c r="H8">
        <v>0</v>
      </c>
      <c r="I8" s="2">
        <f>(5.58/22.862441+0.15)*22.862441</f>
        <v>9.00936615</v>
      </c>
      <c r="J8">
        <v>0</v>
      </c>
      <c r="K8">
        <v>0</v>
      </c>
      <c r="L8">
        <v>0</v>
      </c>
      <c r="M8">
        <v>0</v>
      </c>
      <c r="N8" s="2">
        <f>(5.58/23.315864+0.15)*23.315864</f>
        <v>9.0773796000000004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2">
        <f>(5.58/22.862441+0.15)*22.862441</f>
        <v>9.00936615</v>
      </c>
      <c r="I9">
        <v>0</v>
      </c>
      <c r="J9">
        <v>0</v>
      </c>
      <c r="K9">
        <v>0</v>
      </c>
      <c r="L9">
        <v>0</v>
      </c>
      <c r="M9">
        <v>0</v>
      </c>
      <c r="N9" s="2">
        <f>(5.58/37.751923+0.15)*37.751923</f>
        <v>11.242788449999999</v>
      </c>
      <c r="O9">
        <v>0</v>
      </c>
      <c r="P9" s="2">
        <f>(5.58/50.10207+0.15)*50.10207</f>
        <v>13.095310500000002</v>
      </c>
      <c r="Q9" s="2">
        <f>(5.58/85.539761+0.15)*85.539761</f>
        <v>18.410964149999998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4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4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2">
        <f>(5.58/21.85456+0.15)*21.85456</f>
        <v>8.8581840000000014</v>
      </c>
      <c r="N12" s="4">
        <v>0</v>
      </c>
      <c r="O12">
        <v>0</v>
      </c>
      <c r="P12">
        <v>0</v>
      </c>
      <c r="Q12">
        <v>0</v>
      </c>
      <c r="R12" s="2">
        <f>(5.58/25.9618+0.15)*25.9618</f>
        <v>9.4742699999999989</v>
      </c>
      <c r="S12" s="2">
        <f>(5.58/35.336075+0.15)*35.336075</f>
        <v>10.88041125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 s="2">
        <f>(5.58/25.78356+0.15)*20.802578</f>
        <v>7.6224176546082854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4">
        <v>0</v>
      </c>
      <c r="O13" s="2">
        <f>(5.58/13.188787+0.15)*13.188787</f>
        <v>7.5583180500000005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2">
        <f>(5.58/23.315864+0.15)*23.315864</f>
        <v>9.0773796000000004</v>
      </c>
      <c r="I14">
        <v>0</v>
      </c>
      <c r="J14">
        <v>0</v>
      </c>
      <c r="K14">
        <v>0</v>
      </c>
      <c r="L14">
        <v>0</v>
      </c>
      <c r="M14">
        <v>0</v>
      </c>
      <c r="N14" s="4">
        <v>0</v>
      </c>
      <c r="O14" s="2">
        <f>(5.58/15.490535+0.15)*15.490535</f>
        <v>7.9035802500000001</v>
      </c>
      <c r="P14" s="2">
        <f>(5.58/22.277088+0.15)*22.277088</f>
        <v>8.9215632000000014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4">
        <v>0</v>
      </c>
      <c r="O15">
        <v>0</v>
      </c>
      <c r="P15" s="2">
        <f>(5.58/16.482937+0.15)*16.482937</f>
        <v>8.05244055</v>
      </c>
      <c r="Q15">
        <v>0</v>
      </c>
      <c r="R15">
        <v>0</v>
      </c>
      <c r="S15">
        <v>0</v>
      </c>
      <c r="T15" s="2">
        <f>(5.58/29.311586+0.15)*29.311586</f>
        <v>9.9767378999999998</v>
      </c>
      <c r="U15">
        <v>0</v>
      </c>
      <c r="V15">
        <v>0</v>
      </c>
      <c r="W15">
        <v>0</v>
      </c>
      <c r="X15" s="2">
        <f>(5.58/81.994527+0.15)*81.994527</f>
        <v>17.879179050000001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4">
        <v>0</v>
      </c>
      <c r="O16">
        <v>0</v>
      </c>
      <c r="P16">
        <v>0</v>
      </c>
      <c r="Q16" s="2">
        <f>(5.58/42.16782+0.15)*42.16782</f>
        <v>11.905173</v>
      </c>
      <c r="R16">
        <v>0</v>
      </c>
      <c r="S16">
        <v>0</v>
      </c>
      <c r="T16">
        <v>0</v>
      </c>
      <c r="U16" s="2">
        <f>(5.58/56.214208+0.15)*56.214208</f>
        <v>14.012131199999999</v>
      </c>
      <c r="V16">
        <v>0</v>
      </c>
      <c r="W16">
        <v>0</v>
      </c>
      <c r="X16" s="2">
        <f>(5.58/83.770812+0.15)*83.770812</f>
        <v>18.145621800000001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4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2">
        <f>(5.58/34.683705+0.15)*34.683705</f>
        <v>10.78255575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4">
        <v>0</v>
      </c>
      <c r="O18">
        <v>0</v>
      </c>
      <c r="P18">
        <v>0</v>
      </c>
      <c r="Q18">
        <v>0</v>
      </c>
      <c r="R18">
        <v>0</v>
      </c>
      <c r="S18" s="2">
        <f>(5.58/19.827073+0.15)*19.827073</f>
        <v>8.5540609500000002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4">
        <v>0</v>
      </c>
      <c r="O19" s="2">
        <f>(5.58/28.418644+0.15)*28.418644</f>
        <v>9.8427965999999998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4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2">
        <f>(5.58/73.977542+0.15)*73.977542</f>
        <v>16.6766313</v>
      </c>
      <c r="V20">
        <v>0</v>
      </c>
      <c r="W20">
        <v>0</v>
      </c>
      <c r="X20" s="2">
        <f>(5.58/50.840153+0.15)*50.840153</f>
        <v>13.206022950000001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4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4">
        <v>0</v>
      </c>
      <c r="V21">
        <v>0</v>
      </c>
      <c r="W21">
        <v>0</v>
      </c>
      <c r="X21" s="2">
        <f>(5.58/72.285728+0.15)*72.285728</f>
        <v>16.422859200000001</v>
      </c>
      <c r="Y21">
        <v>0</v>
      </c>
      <c r="Z21" s="2">
        <f>(5.58/56.511955+0.15)*56.511955</f>
        <v>14.05679325</v>
      </c>
      <c r="AA21" s="2">
        <f>(5.58/131.565267+0.15)*81.185002</f>
        <v>15.621001862435545</v>
      </c>
      <c r="AB21">
        <v>0</v>
      </c>
      <c r="AC21">
        <v>0</v>
      </c>
      <c r="AD21" s="2">
        <f>(5.58/164.636196+0.15)*164.636196</f>
        <v>30.2754294</v>
      </c>
      <c r="AE21">
        <v>0</v>
      </c>
      <c r="AF21">
        <v>0</v>
      </c>
      <c r="AG21" s="2">
        <f>(5.58/170.04911+0.15)*170.04911</f>
        <v>31.087366500000002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4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4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4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2">
        <f>(5.58/95.661351+0.15)*95.661351</f>
        <v>19.929202649999997</v>
      </c>
      <c r="V23">
        <v>0</v>
      </c>
      <c r="W23">
        <v>0</v>
      </c>
      <c r="X23" s="2">
        <f>(5.58/27.061205+0.15)*27.061205</f>
        <v>9.6391807499999995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4">
        <v>0</v>
      </c>
      <c r="Y24" s="2">
        <f>(5.58/9.222029+0.15)*9.222029</f>
        <v>6.9633043500000005</v>
      </c>
      <c r="Z24" s="2">
        <f>(5.58/81.185002+0.15)*81.185002</f>
        <v>17.757750299999998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4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4">
        <v>0</v>
      </c>
      <c r="Y25">
        <v>0</v>
      </c>
      <c r="Z25">
        <v>0</v>
      </c>
      <c r="AA25" s="2">
        <f>(5.58/57.469918+0.15)*57.469918</f>
        <v>14.2004877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4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4">
        <v>0</v>
      </c>
      <c r="Y26">
        <v>0</v>
      </c>
      <c r="Z26">
        <v>0</v>
      </c>
      <c r="AA26">
        <v>0</v>
      </c>
      <c r="AB26" s="2">
        <f>(5.58/50.712478+0.15)*50.712478</f>
        <v>13.186871699999999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4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4">
        <v>0</v>
      </c>
      <c r="Y27">
        <v>0</v>
      </c>
      <c r="Z27">
        <v>0</v>
      </c>
      <c r="AA27">
        <v>0</v>
      </c>
      <c r="AB27" s="2">
        <f>(5.58/89.725184+0.15)*89.725184</f>
        <v>19.0387776</v>
      </c>
      <c r="AC27">
        <v>0</v>
      </c>
      <c r="AD27" s="2">
        <f>(5.58/88.808969+0.15)*88.808969</f>
        <v>18.90134535</v>
      </c>
      <c r="AE27">
        <v>0</v>
      </c>
      <c r="AF27" s="2">
        <f>(5.58/71.593447+0.15)*71.593447</f>
        <v>16.319017049999999</v>
      </c>
      <c r="AG27" s="2">
        <f>(5.58/71.278778+0.15)*71.278778</f>
        <v>16.271816699999999</v>
      </c>
      <c r="AH27">
        <v>0</v>
      </c>
      <c r="AI27" s="2">
        <f>(5.58/77.624143+0.15)*77.624143</f>
        <v>17.22362145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4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4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2">
        <f>(5.58/61.266247+0.15)*61.266247</f>
        <v>14.769937049999999</v>
      </c>
      <c r="AE28" s="2">
        <f>(5.58/47.128595+0.15)*47.128595</f>
        <v>12.649289249999999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4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4">
        <v>0</v>
      </c>
      <c r="Y29">
        <v>0</v>
      </c>
      <c r="Z29">
        <v>0</v>
      </c>
      <c r="AA29" s="2">
        <f>(5.58/138.661594+0.15)*138.661594</f>
        <v>26.379239099999999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2">
        <f>(5.58/118.810073+0.15)*118.810073</f>
        <v>23.401510950000002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4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4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2">
        <f>(5.58/44.639469+0.15)*44.639469</f>
        <v>12.27592035</v>
      </c>
      <c r="AF30">
        <v>0</v>
      </c>
      <c r="AG30" s="2">
        <f>(5.58/23.036682+0.15)*23.036682</f>
        <v>9.0355022999999992</v>
      </c>
      <c r="AH30">
        <v>0</v>
      </c>
      <c r="AI30">
        <v>0</v>
      </c>
      <c r="AJ30">
        <v>0</v>
      </c>
      <c r="AK30">
        <v>0</v>
      </c>
      <c r="AL30" s="2">
        <f>(5.58/74.774522+0.15)*74.774522</f>
        <v>16.796178300000001</v>
      </c>
      <c r="AM30">
        <v>0</v>
      </c>
      <c r="AN30">
        <v>0</v>
      </c>
      <c r="AO30">
        <v>0</v>
      </c>
      <c r="AP30">
        <v>0</v>
      </c>
      <c r="AQ30" s="4">
        <v>0</v>
      </c>
      <c r="AR30">
        <v>0</v>
      </c>
      <c r="AS30">
        <v>0</v>
      </c>
    </row>
    <row r="31" spans="1:45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4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4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2">
        <f>(5.58/71.887703+0.15)*71.887703</f>
        <v>16.363155450000001</v>
      </c>
      <c r="AK31">
        <v>0</v>
      </c>
      <c r="AL31" s="2">
        <f>(5.58/65.388447+0.15)*65.388447</f>
        <v>15.38826705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4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4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2">
        <f>(5.58/26.39249+0.15)*26.39249</f>
        <v>9.5388734999999993</v>
      </c>
      <c r="AH32">
        <v>0</v>
      </c>
      <c r="AI32" s="2">
        <f>(5.58/26.415151+0.15)*26.415151</f>
        <v>9.5422726499999992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4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4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s="2">
        <f>(5.58/68.76636+0.15)*68.76636</f>
        <v>15.894954</v>
      </c>
      <c r="AJ34">
        <v>0</v>
      </c>
      <c r="AK34" s="2">
        <f>(5.58/32.566769+0.15)*32.566769</f>
        <v>10.46501535</v>
      </c>
      <c r="AL34">
        <v>0</v>
      </c>
      <c r="AM34" s="2">
        <f>(5.58/65.568324+0.15)*65.568324</f>
        <v>15.4152486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4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4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2">
        <f>(5.58/29.828423+0.15)*29.828423</f>
        <v>10.054263449999999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4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4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4">
        <v>0</v>
      </c>
      <c r="AJ36">
        <v>0</v>
      </c>
      <c r="AK36">
        <v>0</v>
      </c>
      <c r="AL36" s="2">
        <f>(5.58/19.868277+0.15)*19.868277</f>
        <v>8.5602415499999989</v>
      </c>
      <c r="AM36">
        <v>0</v>
      </c>
      <c r="AN36">
        <v>0</v>
      </c>
      <c r="AO36" s="2">
        <f>(5.58/52.779403+0.15)*52.779403</f>
        <v>13.49691045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4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4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s="2">
        <f>(5.58/54.876944+0.15)*54.876944</f>
        <v>13.8115416</v>
      </c>
      <c r="AJ37">
        <v>0</v>
      </c>
      <c r="AK37">
        <v>0</v>
      </c>
      <c r="AL37">
        <v>0</v>
      </c>
      <c r="AM37" s="2">
        <f>(5.58/39.402929+0.15)*39.402929</f>
        <v>11.490439349999999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4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4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s="4">
        <v>0</v>
      </c>
      <c r="AJ38" s="4">
        <v>0</v>
      </c>
      <c r="AK38">
        <v>0</v>
      </c>
      <c r="AL38">
        <v>0</v>
      </c>
      <c r="AM38" s="4">
        <v>0</v>
      </c>
      <c r="AN38">
        <v>0</v>
      </c>
      <c r="AO38">
        <v>0</v>
      </c>
      <c r="AP38">
        <v>0</v>
      </c>
      <c r="AQ38" s="2">
        <f>(5.58/19.753039+0.15)*19.753039</f>
        <v>8.5429558500000002</v>
      </c>
      <c r="AR38">
        <v>0</v>
      </c>
      <c r="AS38">
        <v>0</v>
      </c>
    </row>
    <row r="39" spans="1:45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4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4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s="4">
        <v>0</v>
      </c>
      <c r="AJ39" s="4">
        <v>0</v>
      </c>
      <c r="AK39">
        <v>0</v>
      </c>
      <c r="AL39">
        <v>0</v>
      </c>
      <c r="AM39" s="4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4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4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s="4">
        <v>0</v>
      </c>
      <c r="AJ40" s="4">
        <v>0</v>
      </c>
      <c r="AK40" s="2">
        <f>(5.58/63.138961+0.15)*63.138961</f>
        <v>15.05084415</v>
      </c>
      <c r="AL40">
        <v>0</v>
      </c>
      <c r="AM40" s="2">
        <f>(5.58/100.8114+0.15)*100.8114</f>
        <v>20.701709999999999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4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4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s="4">
        <v>0</v>
      </c>
      <c r="AJ41" s="4">
        <v>0</v>
      </c>
      <c r="AK41">
        <v>0</v>
      </c>
      <c r="AL41" s="2">
        <f>(5.58/59.298783+0.15)*59.298783</f>
        <v>14.47481745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4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4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s="4">
        <v>0</v>
      </c>
      <c r="AJ42" s="4">
        <v>0</v>
      </c>
      <c r="AK42" s="2">
        <f>(5.58/136.521573+0.15)*136.521573</f>
        <v>26.058235949999997</v>
      </c>
      <c r="AL42">
        <v>0</v>
      </c>
      <c r="AM42" s="2">
        <f>(5.58/143.334015+0.15)*143.334015</f>
        <v>27.080102249999996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4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4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s="4">
        <v>0</v>
      </c>
      <c r="AJ43" s="4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s="4">
        <v>0</v>
      </c>
      <c r="AJ44" s="4">
        <v>0</v>
      </c>
      <c r="AK44" s="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4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4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s="4">
        <v>0</v>
      </c>
      <c r="AJ45" s="4">
        <v>0</v>
      </c>
      <c r="AK45" s="4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</sheetData>
  <conditionalFormatting sqref="B2:AS45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4"/>
  <sheetViews>
    <sheetView workbookViewId="0"/>
  </sheetViews>
  <sheetFormatPr baseColWidth="10" defaultColWidth="8.83203125" defaultRowHeight="15" x14ac:dyDescent="0.2"/>
  <sheetData>
    <row r="1" spans="1:44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</row>
    <row r="2" spans="1:44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4"/>
  <sheetViews>
    <sheetView workbookViewId="0"/>
  </sheetViews>
  <sheetFormatPr baseColWidth="10" defaultColWidth="8.83203125" defaultRowHeight="15" x14ac:dyDescent="0.2"/>
  <sheetData>
    <row r="1" spans="1:44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</row>
    <row r="2" spans="1:44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gamma1</vt:lpstr>
      <vt:lpstr>gamma2</vt:lpstr>
      <vt:lpstr>gamma3</vt:lpstr>
      <vt:lpstr>gamma4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2025-10-03T19:40:28Z</dcterms:created>
  <dcterms:modified xsi:type="dcterms:W3CDTF">2026-05-28T16:41:44Z</dcterms:modified>
</cp:coreProperties>
</file>