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0954659\PycharmProjects\AdOpT-NET0_XiaoY\southern_europe\italy_data\geographical_feature\"/>
    </mc:Choice>
  </mc:AlternateContent>
  <xr:revisionPtr revIDLastSave="0" documentId="13_ncr:1_{D25D0893-FF7A-4601-A723-E254F4D974DA}" xr6:coauthVersionLast="47" xr6:coauthVersionMax="47" xr10:uidLastSave="{00000000-0000-0000-0000-000000000000}"/>
  <bookViews>
    <workbookView xWindow="-108" yWindow="-108" windowWidth="23256" windowHeight="12456" xr2:uid="{379C4F9F-DD70-7E45-95FC-77689C619D9D}"/>
  </bookViews>
  <sheets>
    <sheet name="nodes" sheetId="1" r:id="rId1"/>
    <sheet name="truck" sheetId="2" r:id="rId2"/>
    <sheet name="pipeline" sheetId="3" r:id="rId3"/>
    <sheet name="railway" sheetId="4" r:id="rId4"/>
    <sheet name="raw_data" sheetId="6" r:id="rId5"/>
    <sheet name="readme" sheetId="7" r:id="rId6"/>
  </sheets>
  <externalReferences>
    <externalReference r:id="rId7"/>
    <externalReference r:id="rId8"/>
  </externalReferences>
  <definedNames>
    <definedName name="_xlnm._FilterDatabase" localSheetId="0" hidden="1">nodes!$H$1:$H$45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4" i="1" l="1"/>
  <c r="G23" i="1"/>
  <c r="G21" i="1"/>
</calcChain>
</file>

<file path=xl/sharedStrings.xml><?xml version="1.0" encoding="utf-8"?>
<sst xmlns="http://schemas.openxmlformats.org/spreadsheetml/2006/main" count="390" uniqueCount="160">
  <si>
    <t>Facility name</t>
  </si>
  <si>
    <t>Longitude</t>
  </si>
  <si>
    <t>Latitude</t>
  </si>
  <si>
    <t>Yearly CO2 emissions [kg/year]</t>
  </si>
  <si>
    <t>Sector</t>
  </si>
  <si>
    <t>Owner</t>
  </si>
  <si>
    <t>Activity</t>
  </si>
  <si>
    <t>City</t>
  </si>
  <si>
    <t>Production capacity</t>
  </si>
  <si>
    <t>Production capacity u.m.</t>
  </si>
  <si>
    <t>Reference year</t>
  </si>
  <si>
    <t>Source</t>
  </si>
  <si>
    <t>MONSELICE cement plant</t>
  </si>
  <si>
    <t>Cement</t>
  </si>
  <si>
    <t>BUZZI UNICEM S.p.A.</t>
  </si>
  <si>
    <t>Installations for the production of cement clinker in rotary kilns</t>
  </si>
  <si>
    <t>MONSELICE</t>
  </si>
  <si>
    <t>ton/year</t>
  </si>
  <si>
    <t>https://industry.eea.europa.eu/</t>
  </si>
  <si>
    <t>Cementirossi - Cementeria di Pederobba</t>
  </si>
  <si>
    <t>INDUSTRIA CEMENTI GIOVANNI ROSSI S.p.A.</t>
  </si>
  <si>
    <t>Installationsfortheproductionofcementclinkerinrotarykilns,limeinrotarykilns,cementorlimeinotherfurnaces.Notetoreporters,useLevel3activitye.g.3(c)(i),inpreferenceto3(c).Level2activityclass(i.e.3(c))onlytobeusedwhereLevel3isnotavailable.</t>
  </si>
  <si>
    <t>PEDEROBBA</t>
  </si>
  <si>
    <t>STABILIMENTO DI PONTE DELLA PRIULA</t>
  </si>
  <si>
    <t>SUPERBETON S.p.A.</t>
  </si>
  <si>
    <t>SUSEGANA</t>
  </si>
  <si>
    <t>-</t>
  </si>
  <si>
    <t>ROBILANTE cement plant</t>
  </si>
  <si>
    <t>ROBILANTE</t>
  </si>
  <si>
    <t>Stabilimento di Tavernola Bergamasca</t>
  </si>
  <si>
    <t>Italsacci</t>
  </si>
  <si>
    <t>Cement production</t>
  </si>
  <si>
    <t>BERGAMO</t>
  </si>
  <si>
    <t>Italcementi Calusco D'Adda</t>
  </si>
  <si>
    <t>ITALCEMENTI S.p.A.</t>
  </si>
  <si>
    <t>CALUSCOD'ADDA</t>
  </si>
  <si>
    <t>Colacem - Stabilimento di Caravate</t>
  </si>
  <si>
    <t>COLACEM S.P.A.</t>
  </si>
  <si>
    <t>CARAVATE</t>
  </si>
  <si>
    <t>Italcementi di Rezzato</t>
  </si>
  <si>
    <t>REZZATO</t>
  </si>
  <si>
    <t>SACCI S.p.A.</t>
  </si>
  <si>
    <t>TAVERNOLABERGAMASCA</t>
  </si>
  <si>
    <t>Holcim (Italia) S.p.A.-unità produttiva di Ternate</t>
  </si>
  <si>
    <t>Holcim S.p.A.</t>
  </si>
  <si>
    <t>TERNATE</t>
  </si>
  <si>
    <t>FANNA cement plant</t>
  </si>
  <si>
    <t>FANNA</t>
  </si>
  <si>
    <t>Cementirossi - Cementeria di Piacenza</t>
  </si>
  <si>
    <t>PIACENZA</t>
  </si>
  <si>
    <t>VERNASCA cement plant</t>
  </si>
  <si>
    <t>VERNASCA</t>
  </si>
  <si>
    <t>RAFFINERIA SARPOM DI TRECATE</t>
  </si>
  <si>
    <t>Refining</t>
  </si>
  <si>
    <t>Mineral oil and gas refineries</t>
  </si>
  <si>
    <t>TRECATE</t>
  </si>
  <si>
    <t>RAFFINERIA DI SANNAZZARO DE' BURGONDI</t>
  </si>
  <si>
    <t>Eni S.p.A.</t>
  </si>
  <si>
    <t>SANNAZZARO DE' BURGONDI</t>
  </si>
  <si>
    <t>Iplom S.p.A - Raffineria di Busalla</t>
  </si>
  <si>
    <t>Iplom S.p.A.</t>
  </si>
  <si>
    <t>BUSALLA</t>
  </si>
  <si>
    <t>Impianto di Termovalorizzazione di San Lazzaro (PD)</t>
  </si>
  <si>
    <t>Waste</t>
  </si>
  <si>
    <t>Herambiente</t>
  </si>
  <si>
    <t>Installations for the incineration of non-hazardous waste in the scope of Directive 2000/76/EC of the European Parliament and of the Council of 4 December 2000 on the incineration of waste</t>
  </si>
  <si>
    <t>PADOVA</t>
  </si>
  <si>
    <t>ton/day</t>
  </si>
  <si>
    <t>TERMOVALORIZZAOTRE DI VERONA</t>
  </si>
  <si>
    <t>AMIA (gruppo AGSM)</t>
  </si>
  <si>
    <t>VERONA</t>
  </si>
  <si>
    <t>estimated - generic year</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</si>
  <si>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</si>
  <si>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TERMOVALORIZZATORE DI BOLZANO</t>
  </si>
  <si>
    <t>Eco center S.p.A.</t>
  </si>
  <si>
    <t>BOLZANO</t>
  </si>
  <si>
    <t>TRM - TERMOVALORIZZATORE DEL GERBIDO</t>
  </si>
  <si>
    <t>TRM S.p.A. (Iren group)</t>
  </si>
  <si>
    <t>TORINO</t>
  </si>
  <si>
    <t>TERMOVALORIZZATORE DI BRESCIA</t>
  </si>
  <si>
    <t>A2A</t>
  </si>
  <si>
    <t>BRESCIA</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</si>
  <si>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</si>
  <si>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TERMOVALORIZZATORE BUSTO ARSIZIO</t>
  </si>
  <si>
    <t>Associazione Consortile dei Comuni dell'Alto Milanese</t>
  </si>
  <si>
    <t>BUSTO ARSIZIO</t>
  </si>
  <si>
    <t>TERMOVALORIZZATORE COMO</t>
  </si>
  <si>
    <t>Acinque S.r.l.</t>
  </si>
  <si>
    <t>COMO</t>
  </si>
  <si>
    <t>Termovalorizzatore di Dalmine</t>
  </si>
  <si>
    <t>REA Dalmine SpA</t>
  </si>
  <si>
    <t>DALMINE</t>
  </si>
  <si>
    <t>TERMOVALORIZZATORE DI DESIO</t>
  </si>
  <si>
    <t>Brianza Energia Ambiente S.p.A.</t>
  </si>
  <si>
    <t>DESIO</t>
  </si>
  <si>
    <t>SILLA 2</t>
  </si>
  <si>
    <t>MILANO</t>
  </si>
  <si>
    <t>TERMOVALORIZZATORE DI CORTEOLONA E GENZONE</t>
  </si>
  <si>
    <t>trattamenti RSU per produzione  CCS per termovalorizzatore</t>
  </si>
  <si>
    <t>PAVIA</t>
  </si>
  <si>
    <t>TermoTrezzo</t>
  </si>
  <si>
    <t>PRIMA s.r.l.</t>
  </si>
  <si>
    <t>TREZZO SULL'ADDA</t>
  </si>
  <si>
    <t>Impianto di termovalorizzazione di Valmadrera</t>
  </si>
  <si>
    <t>Silea S.p.a.</t>
  </si>
  <si>
    <t>VALMADRERA</t>
  </si>
  <si>
    <t>Impianto di Termovalorizzazione Rifiuti di Trieste</t>
  </si>
  <si>
    <t>TRIESTE</t>
  </si>
  <si>
    <t>Termovalorizzatore di Rimini</t>
  </si>
  <si>
    <t>HERAMBIENTE s.p.a</t>
  </si>
  <si>
    <t>CORIANO</t>
  </si>
  <si>
    <t>HERAMBIENTE Spa -Termovalorizzatore</t>
  </si>
  <si>
    <t>FERRARA</t>
  </si>
  <si>
    <t>HERAMBIENTE - 3^ LINEA</t>
  </si>
  <si>
    <t>FORLI'</t>
  </si>
  <si>
    <t>FRULLO ENERGIA AMBIENTE S.R.L.</t>
  </si>
  <si>
    <t>Fea S.r.l.</t>
  </si>
  <si>
    <t>GRANAROLO DELL'EMILIA</t>
  </si>
  <si>
    <t>HERAMBIENTE S.R.L.  - IMPIANTO DI TERMOVALORIZZAZIONE RIFIUTI NON PERICOLOSI</t>
  </si>
  <si>
    <t>MODENA</t>
  </si>
  <si>
    <t>TERMOVALORIZZATORE - PAIP</t>
  </si>
  <si>
    <t>IREN</t>
  </si>
  <si>
    <t>Installations for the disposal of non-hazardous waste</t>
  </si>
  <si>
    <t>PARMA</t>
  </si>
  <si>
    <t>LOMELLINA ENERGIA</t>
  </si>
  <si>
    <t>Lomellina Energia S.r.l.</t>
  </si>
  <si>
    <t>Parona</t>
  </si>
  <si>
    <t>IREN AMBIENTE S.p.A. (CENTRO STOCCAGGIO E TRATTAMENTO RIFIUTI)</t>
  </si>
  <si>
    <t>node_id</t>
  </si>
  <si>
    <t>node_name</t>
  </si>
  <si>
    <t>longitude</t>
  </si>
  <si>
    <t>latitude</t>
  </si>
  <si>
    <t>altitude</t>
  </si>
  <si>
    <t>annual_flux</t>
  </si>
  <si>
    <t>computed_annual_flux</t>
  </si>
  <si>
    <t>node_type</t>
  </si>
  <si>
    <t>Railway station name</t>
  </si>
  <si>
    <t>Montebelluna</t>
  </si>
  <si>
    <t>Stazione Ferroviaria</t>
  </si>
  <si>
    <t>Dinazzano</t>
  </si>
  <si>
    <t>Como San Giovanni</t>
  </si>
  <si>
    <t>Trino Vercellese</t>
  </si>
  <si>
    <t>Permosello Chivoenda</t>
  </si>
  <si>
    <t>Novara Nord</t>
  </si>
  <si>
    <t>Vercelli</t>
  </si>
  <si>
    <t>Milano</t>
  </si>
  <si>
    <t>Torino</t>
  </si>
  <si>
    <t>Genova</t>
  </si>
  <si>
    <t>Verona</t>
  </si>
  <si>
    <t>Bologna</t>
  </si>
  <si>
    <t>Trieste</t>
  </si>
  <si>
    <t>Venezia</t>
  </si>
  <si>
    <t>Transport</t>
  </si>
  <si>
    <t>S.Giuliano Milanese</t>
  </si>
  <si>
    <t>Piacenza</t>
  </si>
  <si>
    <t>Ravenna</t>
  </si>
  <si>
    <t>Other</t>
  </si>
  <si>
    <t>Porto Corsini</t>
  </si>
  <si>
    <t>Storage</t>
  </si>
  <si>
    <t>Eni S.p.A Casalborsetti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</si>
</sst>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0"/>
    <numFmt numFmtId="166" formatCode="_(* #,##0_);_(* \(#,##0\);_(* &quot;-&quot;??_);_(@_)"/>
    <numFmt numFmtId="167" formatCode="0.000"/>
  </numFmts>
  <fonts count="7"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Calibri"/>
      <family val="2"/>
    </font>
    <font>
      <u/>
      <sz val="12"/>
      <color theme="10"/>
      <name val="Aptos Narrow"/>
      <family val="2"/>
      <scheme val="minor"/>
    </font>
    <font>
      <sz val="12"/>
      <color theme="1"/>
      <name val="Calibri"/>
      <family val="2"/>
    </font>
    <font>
      <sz val="12"/>
      <color rgb="FF000000"/>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0" fontId="4" fillId="0" borderId="0" applyNumberFormat="0" applyFill="0" applyBorder="0" applyAlignment="0" applyProtection="0"/>
  </cellStyleXfs>
  <cellXfs count="18">
    <xf numFmtId="0" fontId="0" fillId="0" borderId="0" xfId="0"/>
    <xf numFmtId="0" fontId="3" fillId="0" borderId="0" xfId="0" applyFont="1"/>
    <xf numFmtId="165" fontId="3" fillId="0" borderId="0" xfId="0" applyNumberFormat="1" applyFont="1"/>
    <xf numFmtId="0" fontId="5" fillId="0" borderId="0" xfId="0" applyFont="1"/>
    <xf numFmtId="2" fontId="5" fillId="0" borderId="0" xfId="0" applyNumberFormat="1" applyFont="1"/>
    <xf numFmtId="1" fontId="5" fillId="0" borderId="0" xfId="0" applyNumberFormat="1" applyFont="1"/>
    <xf numFmtId="1" fontId="5" fillId="0" borderId="0" xfId="1" applyNumberFormat="1" applyFont="1"/>
    <xf numFmtId="0" fontId="5" fillId="2" borderId="0" xfId="0" applyFont="1" applyFill="1"/>
    <xf numFmtId="165" fontId="5" fillId="2" borderId="0" xfId="0" applyNumberFormat="1" applyFont="1" applyFill="1"/>
    <xf numFmtId="166" fontId="5" fillId="2" borderId="0" xfId="1" applyNumberFormat="1" applyFont="1" applyFill="1"/>
    <xf numFmtId="0" fontId="4" fillId="2" borderId="0" xfId="2" applyFill="1"/>
    <xf numFmtId="0" fontId="0" fillId="2" borderId="0" xfId="0" applyFill="1"/>
    <xf numFmtId="1" fontId="5" fillId="0" borderId="0" xfId="1" applyNumberFormat="1" applyFont="1" applyFill="1"/>
    <xf numFmtId="0" fontId="2" fillId="0" borderId="0" xfId="0" applyFont="1"/>
    <xf numFmtId="1" fontId="6" fillId="0" borderId="0" xfId="0" applyNumberFormat="1" applyFont="1"/>
    <xf numFmtId="2" fontId="0" fillId="0" borderId="0" xfId="0" applyNumberFormat="1"/>
    <xf numFmtId="1" fontId="0" fillId="0" borderId="0" xfId="0" applyNumberFormat="1"/>
    <xf numFmtId="167" fontId="0" fillId="0" borderId="0" xfId="0" applyNumberForma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kk/Documents/GitHub/AdOpT-NET0_XiaoY/southern_europe/italy_data/raw_data/DS.06.01_emission%20profiles_v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kk/Documents/GitHub/AdOpT-NET0_XiaoY/southern_europe/northern_italy_data/raw_data/DS.06.01_emission%20profiles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ste - TERMOVALORIZZATORE COMO"/>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ste - SILLA 2"/>
      <sheetName val="Waste -  PIACENZA Iren"/>
      <sheetName val="Cement-VERNASCA"/>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industry.eea.europa.eu/" TargetMode="External"/><Relationship Id="rId13" Type="http://schemas.openxmlformats.org/officeDocument/2006/relationships/hyperlink" Target="https://industry.eea.europa.eu/" TargetMode="External"/><Relationship Id="rId3" Type="http://schemas.openxmlformats.org/officeDocument/2006/relationships/hyperlink" Target="https://industry.eea.europa.eu/" TargetMode="External"/><Relationship Id="rId7" Type="http://schemas.openxmlformats.org/officeDocument/2006/relationships/hyperlink" Target="https://industry.eea.europa.eu/" TargetMode="External"/><Relationship Id="rId12" Type="http://schemas.openxmlformats.org/officeDocument/2006/relationships/hyperlink" Target="https://industry.eea.europa.eu/" TargetMode="External"/><Relationship Id="rId2" Type="http://schemas.openxmlformats.org/officeDocument/2006/relationships/hyperlink" Target="https://industry.eea.europa.eu/" TargetMode="External"/><Relationship Id="rId1" Type="http://schemas.openxmlformats.org/officeDocument/2006/relationships/hyperlink" Target="https://industry.eea.europa.eu/" TargetMode="External"/><Relationship Id="rId6" Type="http://schemas.openxmlformats.org/officeDocument/2006/relationships/hyperlink" Target="https://industry.eea.europa.eu/" TargetMode="External"/><Relationship Id="rId11" Type="http://schemas.openxmlformats.org/officeDocument/2006/relationships/hyperlink" Target="https://industry.eea.europa.eu/" TargetMode="External"/><Relationship Id="rId5" Type="http://schemas.openxmlformats.org/officeDocument/2006/relationships/hyperlink" Target="https://industry.eea.europa.eu/" TargetMode="External"/><Relationship Id="rId10" Type="http://schemas.openxmlformats.org/officeDocument/2006/relationships/hyperlink" Target="https://industry.eea.europa.eu/" TargetMode="External"/><Relationship Id="rId4" Type="http://schemas.openxmlformats.org/officeDocument/2006/relationships/hyperlink" Target="https://industry.eea.europa.eu/" TargetMode="External"/><Relationship Id="rId9" Type="http://schemas.openxmlformats.org/officeDocument/2006/relationships/hyperlink" Target="https://industry.eea.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D1C5-EC61-2C46-8415-0BC31FC69ED1}">
  <dimension ref="A1:H45"/>
  <sheetViews>
    <sheetView tabSelected="1" topLeftCell="A36" zoomScale="156" workbookViewId="0">
      <selection activeCell="B45" sqref="B45"/>
    </sheetView>
  </sheetViews>
  <sheetFormatPr defaultColWidth="11.19921875" defaultRowHeight="15.6" x14ac:dyDescent="0.3"/>
  <cols>
    <col min="2" max="2" width="39.5" customWidth="1"/>
    <col min="3" max="4" width="10.796875" style="15"/>
    <col min="6" max="6" width="14.296875" customWidth="1"/>
    <col min="7" max="7" width="13.296875" bestFit="1" customWidth="1"/>
  </cols>
  <sheetData>
    <row r="1" spans="1:8" x14ac:dyDescent="0.3">
      <c r="A1" s="3" t="s">
        <v>128</v>
      </c>
      <c r="B1" s="3" t="s">
        <v>129</v>
      </c>
      <c r="C1" s="4" t="s">
        <v>130</v>
      </c>
      <c r="D1" s="4" t="s">
        <v>131</v>
      </c>
      <c r="E1" s="5" t="s">
        <v>132</v>
      </c>
      <c r="F1" s="5" t="s">
        <v>133</v>
      </c>
      <c r="G1" s="5" t="s">
        <v>134</v>
      </c>
      <c r="H1" s="3" t="s">
        <v>135</v>
      </c>
    </row>
    <row r="2" spans="1:8" x14ac:dyDescent="0.3">
      <c r="A2">
        <v>1</v>
      </c>
      <c r="B2" s="3" t="s">
        <v>76</v>
      </c>
      <c r="C2" s="4">
        <v>7.5882199999999997</v>
      </c>
      <c r="D2" s="4">
        <v>45.03651</v>
      </c>
      <c r="E2">
        <v>10</v>
      </c>
      <c r="F2" s="6">
        <v>600525753</v>
      </c>
      <c r="H2" s="3" t="s">
        <v>63</v>
      </c>
    </row>
    <row r="3" spans="1:8" x14ac:dyDescent="0.3">
      <c r="A3">
        <v>2</v>
      </c>
      <c r="B3" s="3" t="s">
        <v>27</v>
      </c>
      <c r="C3" s="4">
        <v>7.51762</v>
      </c>
      <c r="D3" s="4">
        <v>44.262830000000001</v>
      </c>
      <c r="E3">
        <v>10</v>
      </c>
      <c r="F3" s="12">
        <v>933726000</v>
      </c>
      <c r="H3" s="3" t="s">
        <v>13</v>
      </c>
    </row>
    <row r="4" spans="1:8" x14ac:dyDescent="0.3">
      <c r="A4">
        <v>3</v>
      </c>
      <c r="B4" s="3" t="s">
        <v>141</v>
      </c>
      <c r="C4" s="15">
        <v>8.2941000000000003</v>
      </c>
      <c r="D4" s="15">
        <v>45.19014</v>
      </c>
      <c r="E4">
        <v>10</v>
      </c>
      <c r="F4">
        <v>0</v>
      </c>
      <c r="H4" s="3" t="s">
        <v>152</v>
      </c>
    </row>
    <row r="5" spans="1:8" x14ac:dyDescent="0.3">
      <c r="A5">
        <v>4</v>
      </c>
      <c r="B5" s="3" t="s">
        <v>36</v>
      </c>
      <c r="C5" s="4">
        <v>8.6675400000000007</v>
      </c>
      <c r="D5" s="4">
        <v>45.886299999999999</v>
      </c>
      <c r="E5">
        <v>10</v>
      </c>
      <c r="F5" s="12">
        <v>510739000</v>
      </c>
      <c r="H5" s="3" t="s">
        <v>13</v>
      </c>
    </row>
    <row r="6" spans="1:8" x14ac:dyDescent="0.3">
      <c r="A6">
        <v>5</v>
      </c>
      <c r="B6" s="3" t="s">
        <v>43</v>
      </c>
      <c r="C6" s="4">
        <v>8.6815800000000003</v>
      </c>
      <c r="D6" s="4">
        <v>45.782780000000002</v>
      </c>
      <c r="E6">
        <v>10</v>
      </c>
      <c r="F6" s="6">
        <v>536971000</v>
      </c>
      <c r="H6" s="3" t="s">
        <v>13</v>
      </c>
    </row>
    <row r="7" spans="1:8" x14ac:dyDescent="0.3">
      <c r="A7">
        <v>6</v>
      </c>
      <c r="B7" s="3" t="s">
        <v>83</v>
      </c>
      <c r="C7" s="4">
        <v>8.8373200000000001</v>
      </c>
      <c r="D7" s="4">
        <v>45.572769999999998</v>
      </c>
      <c r="E7">
        <v>10</v>
      </c>
      <c r="F7" s="6">
        <v>122771831.36135496</v>
      </c>
      <c r="H7" s="3" t="s">
        <v>63</v>
      </c>
    </row>
    <row r="8" spans="1:8" x14ac:dyDescent="0.3">
      <c r="A8">
        <v>7</v>
      </c>
      <c r="B8" s="3" t="s">
        <v>52</v>
      </c>
      <c r="C8" s="4">
        <v>8.7880199999999995</v>
      </c>
      <c r="D8" s="4">
        <v>45.441830000000003</v>
      </c>
      <c r="E8">
        <v>10</v>
      </c>
      <c r="F8" s="6">
        <v>850236000</v>
      </c>
      <c r="H8" s="3" t="s">
        <v>53</v>
      </c>
    </row>
    <row r="9" spans="1:8" x14ac:dyDescent="0.3">
      <c r="A9">
        <v>8</v>
      </c>
      <c r="B9" s="3" t="s">
        <v>124</v>
      </c>
      <c r="C9" s="4">
        <v>8.7867099999999994</v>
      </c>
      <c r="D9" s="4">
        <v>45.288359999999997</v>
      </c>
      <c r="E9">
        <v>10</v>
      </c>
      <c r="F9" s="6">
        <v>338516000</v>
      </c>
      <c r="H9" s="3" t="s">
        <v>63</v>
      </c>
    </row>
    <row r="10" spans="1:8" x14ac:dyDescent="0.3">
      <c r="A10">
        <v>9</v>
      </c>
      <c r="B10" s="3" t="s">
        <v>56</v>
      </c>
      <c r="C10" s="4">
        <v>8.8840800000000009</v>
      </c>
      <c r="D10" s="4">
        <v>45.101039999999998</v>
      </c>
      <c r="E10">
        <v>10</v>
      </c>
      <c r="F10" s="12">
        <v>1597264000</v>
      </c>
      <c r="G10" s="3"/>
      <c r="H10" s="3" t="s">
        <v>53</v>
      </c>
    </row>
    <row r="11" spans="1:8" x14ac:dyDescent="0.3">
      <c r="A11">
        <v>10</v>
      </c>
      <c r="B11" s="3" t="s">
        <v>59</v>
      </c>
      <c r="C11" s="4">
        <v>8.95045</v>
      </c>
      <c r="D11" s="4">
        <v>44.572049999999997</v>
      </c>
      <c r="E11">
        <v>10</v>
      </c>
      <c r="F11" s="6">
        <v>258516117</v>
      </c>
      <c r="H11" s="3" t="s">
        <v>53</v>
      </c>
    </row>
    <row r="12" spans="1:8" x14ac:dyDescent="0.3">
      <c r="A12">
        <v>11</v>
      </c>
      <c r="B12" s="3" t="s">
        <v>86</v>
      </c>
      <c r="C12" s="4">
        <v>9.0714299999999994</v>
      </c>
      <c r="D12" s="4">
        <v>45.774059999999999</v>
      </c>
      <c r="E12">
        <v>10</v>
      </c>
      <c r="F12" s="6">
        <v>105538400</v>
      </c>
      <c r="G12" s="6">
        <f>SUM('[1]Waste - TERMOVALORIZZATORE COMO'!$C$3:$C$17522)*1000</f>
        <v>197687774.00851971</v>
      </c>
      <c r="H12" s="3" t="s">
        <v>63</v>
      </c>
    </row>
    <row r="13" spans="1:8" x14ac:dyDescent="0.3">
      <c r="A13">
        <v>12</v>
      </c>
      <c r="B13" s="3" t="s">
        <v>92</v>
      </c>
      <c r="C13" s="4">
        <v>9.1791900000000002</v>
      </c>
      <c r="D13" s="4">
        <v>45.610050000000001</v>
      </c>
      <c r="E13">
        <v>10</v>
      </c>
      <c r="F13" s="6">
        <v>111610755.78304997</v>
      </c>
      <c r="H13" s="3" t="s">
        <v>63</v>
      </c>
    </row>
    <row r="14" spans="1:8" x14ac:dyDescent="0.3">
      <c r="A14">
        <v>13</v>
      </c>
      <c r="B14" s="3" t="s">
        <v>95</v>
      </c>
      <c r="C14" s="4">
        <v>9.0725599999999993</v>
      </c>
      <c r="D14" s="4">
        <v>45.504100000000001</v>
      </c>
      <c r="E14">
        <v>10</v>
      </c>
      <c r="F14" s="6">
        <v>323606842</v>
      </c>
      <c r="G14" s="5">
        <f>SUM('[2]Waste - SILLA 2'!$C$3:$C$8761)*1000</f>
        <v>743619528.96172464</v>
      </c>
      <c r="H14" s="3" t="s">
        <v>63</v>
      </c>
    </row>
    <row r="15" spans="1:8" x14ac:dyDescent="0.3">
      <c r="A15">
        <v>14</v>
      </c>
      <c r="B15" s="3" t="s">
        <v>100</v>
      </c>
      <c r="C15" s="4">
        <v>9.2457799999999999</v>
      </c>
      <c r="D15" s="4">
        <v>45.536929999999998</v>
      </c>
      <c r="E15">
        <v>10</v>
      </c>
      <c r="F15" s="6">
        <v>223853000</v>
      </c>
      <c r="H15" s="3" t="s">
        <v>63</v>
      </c>
    </row>
    <row r="16" spans="1:8" x14ac:dyDescent="0.3">
      <c r="A16">
        <v>15</v>
      </c>
      <c r="B16" s="3" t="s">
        <v>153</v>
      </c>
      <c r="C16" s="4">
        <v>9.2864500000000003</v>
      </c>
      <c r="D16" s="4">
        <v>45.391199999999998</v>
      </c>
      <c r="E16">
        <v>10</v>
      </c>
      <c r="F16" s="6">
        <v>0</v>
      </c>
      <c r="H16" s="3" t="s">
        <v>152</v>
      </c>
    </row>
    <row r="17" spans="1:8" x14ac:dyDescent="0.3">
      <c r="A17">
        <v>16</v>
      </c>
      <c r="B17" s="3" t="s">
        <v>97</v>
      </c>
      <c r="C17" s="4">
        <v>9.3601100000000006</v>
      </c>
      <c r="D17" s="4">
        <v>45.170850000000002</v>
      </c>
      <c r="E17">
        <v>10</v>
      </c>
      <c r="F17" s="6">
        <v>120000000</v>
      </c>
      <c r="H17" s="3" t="s">
        <v>63</v>
      </c>
    </row>
    <row r="18" spans="1:8" x14ac:dyDescent="0.3">
      <c r="A18">
        <v>17</v>
      </c>
      <c r="B18" s="3" t="s">
        <v>103</v>
      </c>
      <c r="C18" s="4">
        <v>9.3596500000000002</v>
      </c>
      <c r="D18" s="4">
        <v>45.839730000000003</v>
      </c>
      <c r="E18">
        <v>10</v>
      </c>
      <c r="F18" s="6">
        <v>128208990</v>
      </c>
      <c r="H18" s="3" t="s">
        <v>63</v>
      </c>
    </row>
    <row r="19" spans="1:8" x14ac:dyDescent="0.3">
      <c r="A19">
        <v>18</v>
      </c>
      <c r="B19" s="3" t="s">
        <v>33</v>
      </c>
      <c r="C19" s="4">
        <v>9.4682999999999993</v>
      </c>
      <c r="D19" s="4">
        <v>45.68723</v>
      </c>
      <c r="E19">
        <v>10</v>
      </c>
      <c r="F19" s="6">
        <v>790120000</v>
      </c>
      <c r="H19" s="3" t="s">
        <v>13</v>
      </c>
    </row>
    <row r="20" spans="1:8" x14ac:dyDescent="0.3">
      <c r="A20">
        <v>19</v>
      </c>
      <c r="B20" s="3" t="s">
        <v>89</v>
      </c>
      <c r="C20" s="4">
        <v>9.6078200000000002</v>
      </c>
      <c r="D20" s="4">
        <v>45.634659999999997</v>
      </c>
      <c r="E20">
        <v>10</v>
      </c>
      <c r="F20" s="6">
        <v>190599884</v>
      </c>
      <c r="H20" s="3" t="s">
        <v>63</v>
      </c>
    </row>
    <row r="21" spans="1:8" x14ac:dyDescent="0.3">
      <c r="A21">
        <v>20</v>
      </c>
      <c r="B21" s="3" t="s">
        <v>154</v>
      </c>
      <c r="C21" s="4">
        <v>9.7038200000000003</v>
      </c>
      <c r="D21" s="4">
        <v>45.057380000000002</v>
      </c>
      <c r="E21" s="14">
        <v>10</v>
      </c>
      <c r="F21" s="5">
        <v>123636000</v>
      </c>
      <c r="G21" s="5">
        <f>SUM('[2]Waste -  PIACENZA Iren'!$C$3:$C$8762)*1000</f>
        <v>111514716.52493508</v>
      </c>
      <c r="H21" s="3" t="s">
        <v>63</v>
      </c>
    </row>
    <row r="22" spans="1:8" x14ac:dyDescent="0.3">
      <c r="A22">
        <v>20</v>
      </c>
      <c r="B22" s="3" t="s">
        <v>154</v>
      </c>
      <c r="C22" s="4">
        <v>9.7038200000000003</v>
      </c>
      <c r="D22" s="4">
        <v>45.057380000000002</v>
      </c>
      <c r="E22" s="14">
        <v>10</v>
      </c>
      <c r="F22" s="5">
        <v>405887000</v>
      </c>
      <c r="G22" s="5"/>
      <c r="H22" s="3" t="s">
        <v>13</v>
      </c>
    </row>
    <row r="23" spans="1:8" x14ac:dyDescent="0.3">
      <c r="A23">
        <v>21</v>
      </c>
      <c r="B23" s="3" t="s">
        <v>50</v>
      </c>
      <c r="C23" s="4">
        <v>9.8099799999999995</v>
      </c>
      <c r="D23" s="4">
        <v>44.793680000000002</v>
      </c>
      <c r="E23">
        <v>10</v>
      </c>
      <c r="F23" s="6">
        <v>587138470</v>
      </c>
      <c r="G23" s="5">
        <f>SUM('[2]Cement-VERNASCA'!$C$3:$C$367)*1000</f>
        <v>587138469.99999881</v>
      </c>
      <c r="H23" s="3" t="s">
        <v>13</v>
      </c>
    </row>
    <row r="24" spans="1:8" x14ac:dyDescent="0.3">
      <c r="A24">
        <v>22</v>
      </c>
      <c r="B24" s="3" t="s">
        <v>29</v>
      </c>
      <c r="C24" s="4">
        <v>10.047169999999999</v>
      </c>
      <c r="D24" s="4">
        <v>45.71698</v>
      </c>
      <c r="E24">
        <v>10</v>
      </c>
      <c r="F24" s="12">
        <v>128207000</v>
      </c>
      <c r="H24" s="3" t="s">
        <v>13</v>
      </c>
    </row>
    <row r="25" spans="1:8" x14ac:dyDescent="0.3">
      <c r="A25">
        <v>23</v>
      </c>
      <c r="B25" s="3" t="s">
        <v>79</v>
      </c>
      <c r="C25" s="4">
        <v>10.20872</v>
      </c>
      <c r="D25" s="4">
        <v>45.51314</v>
      </c>
      <c r="E25">
        <v>10</v>
      </c>
      <c r="F25" s="6">
        <v>867256250</v>
      </c>
      <c r="H25" s="3" t="s">
        <v>63</v>
      </c>
    </row>
    <row r="26" spans="1:8" x14ac:dyDescent="0.3">
      <c r="A26">
        <v>24</v>
      </c>
      <c r="B26" s="3" t="s">
        <v>39</v>
      </c>
      <c r="C26" s="4">
        <v>10.341900000000001</v>
      </c>
      <c r="D26" s="4">
        <v>45.516039999999997</v>
      </c>
      <c r="E26">
        <v>10</v>
      </c>
      <c r="F26" s="12">
        <v>918742000</v>
      </c>
      <c r="H26" s="3" t="s">
        <v>13</v>
      </c>
    </row>
    <row r="27" spans="1:8" x14ac:dyDescent="0.3">
      <c r="A27">
        <v>25</v>
      </c>
      <c r="B27" s="3" t="s">
        <v>120</v>
      </c>
      <c r="C27" s="4">
        <v>10.35805</v>
      </c>
      <c r="D27" s="4">
        <v>44.856079999999999</v>
      </c>
      <c r="E27">
        <v>10</v>
      </c>
      <c r="F27" s="6">
        <v>166966760</v>
      </c>
      <c r="G27">
        <v>213023660</v>
      </c>
      <c r="H27" s="3" t="s">
        <v>63</v>
      </c>
    </row>
    <row r="28" spans="1:8" x14ac:dyDescent="0.3">
      <c r="A28">
        <v>26</v>
      </c>
      <c r="B28" s="3" t="s">
        <v>68</v>
      </c>
      <c r="C28" s="4">
        <v>11.053699999999999</v>
      </c>
      <c r="D28" s="4">
        <v>45.400399999999998</v>
      </c>
      <c r="E28">
        <v>10</v>
      </c>
      <c r="F28" s="6">
        <v>200899360.40948996</v>
      </c>
      <c r="H28" s="3" t="s">
        <v>63</v>
      </c>
    </row>
    <row r="29" spans="1:8" x14ac:dyDescent="0.3">
      <c r="A29">
        <v>27</v>
      </c>
      <c r="B29" s="3" t="s">
        <v>118</v>
      </c>
      <c r="C29" s="4">
        <v>10.943759999999999</v>
      </c>
      <c r="D29" s="4">
        <v>44.676139999999997</v>
      </c>
      <c r="E29">
        <v>10</v>
      </c>
      <c r="F29" s="6">
        <v>186706873</v>
      </c>
      <c r="H29" s="3" t="s">
        <v>63</v>
      </c>
    </row>
    <row r="30" spans="1:8" x14ac:dyDescent="0.3">
      <c r="A30">
        <v>28</v>
      </c>
      <c r="B30" s="3" t="s">
        <v>73</v>
      </c>
      <c r="C30" s="4">
        <v>11.30925</v>
      </c>
      <c r="D30" s="4">
        <v>46.468580000000003</v>
      </c>
      <c r="E30">
        <v>10</v>
      </c>
      <c r="F30" s="6">
        <v>145093982.51796496</v>
      </c>
      <c r="H30" s="3" t="s">
        <v>63</v>
      </c>
    </row>
    <row r="31" spans="1:8" x14ac:dyDescent="0.3">
      <c r="A31">
        <v>29</v>
      </c>
      <c r="B31" s="3" t="s">
        <v>111</v>
      </c>
      <c r="C31" s="4">
        <v>11.556369999999999</v>
      </c>
      <c r="D31" s="4">
        <v>44.862630000000003</v>
      </c>
      <c r="E31">
        <v>10</v>
      </c>
      <c r="F31" s="6">
        <v>130183000</v>
      </c>
      <c r="H31" s="3" t="s">
        <v>63</v>
      </c>
    </row>
    <row r="32" spans="1:8" x14ac:dyDescent="0.3">
      <c r="A32">
        <v>30</v>
      </c>
      <c r="B32" s="3" t="s">
        <v>115</v>
      </c>
      <c r="C32" s="4">
        <v>11.428890000000001</v>
      </c>
      <c r="D32" s="4">
        <v>44.522860000000001</v>
      </c>
      <c r="E32">
        <v>10</v>
      </c>
      <c r="F32" s="6">
        <v>186972000</v>
      </c>
      <c r="H32" s="3" t="s">
        <v>63</v>
      </c>
    </row>
    <row r="33" spans="1:8" x14ac:dyDescent="0.3">
      <c r="A33">
        <v>31</v>
      </c>
      <c r="B33" s="3" t="s">
        <v>12</v>
      </c>
      <c r="C33" s="4">
        <v>11.75079</v>
      </c>
      <c r="D33" s="4">
        <v>45.252960000000002</v>
      </c>
      <c r="E33">
        <v>10</v>
      </c>
      <c r="F33" s="6">
        <v>342306000</v>
      </c>
      <c r="G33">
        <v>342306000</v>
      </c>
      <c r="H33" s="3" t="s">
        <v>13</v>
      </c>
    </row>
    <row r="34" spans="1:8" x14ac:dyDescent="0.3">
      <c r="A34">
        <v>32</v>
      </c>
      <c r="B34" s="3" t="s">
        <v>138</v>
      </c>
      <c r="C34" s="15">
        <v>11.69642</v>
      </c>
      <c r="D34" s="15">
        <v>45.045929999999998</v>
      </c>
      <c r="E34">
        <v>10</v>
      </c>
      <c r="F34" s="6">
        <v>0</v>
      </c>
      <c r="H34" s="3" t="s">
        <v>152</v>
      </c>
    </row>
    <row r="35" spans="1:8" x14ac:dyDescent="0.3">
      <c r="A35">
        <v>33</v>
      </c>
      <c r="B35" s="3" t="s">
        <v>19</v>
      </c>
      <c r="C35" s="4">
        <v>11.963570000000001</v>
      </c>
      <c r="D35" s="4">
        <v>45.88</v>
      </c>
      <c r="E35">
        <v>10</v>
      </c>
      <c r="F35" s="6">
        <v>351766000</v>
      </c>
      <c r="H35" s="3" t="s">
        <v>13</v>
      </c>
    </row>
    <row r="36" spans="1:8" x14ac:dyDescent="0.3">
      <c r="A36">
        <v>34</v>
      </c>
      <c r="B36" s="3" t="s">
        <v>62</v>
      </c>
      <c r="C36" s="4">
        <v>11.924099999999999</v>
      </c>
      <c r="D36" s="4">
        <v>45.408700000000003</v>
      </c>
      <c r="E36">
        <v>10</v>
      </c>
      <c r="F36" s="6">
        <v>179315793</v>
      </c>
      <c r="H36" s="3" t="s">
        <v>63</v>
      </c>
    </row>
    <row r="37" spans="1:8" x14ac:dyDescent="0.3">
      <c r="A37">
        <v>35</v>
      </c>
      <c r="B37" s="3" t="s">
        <v>113</v>
      </c>
      <c r="C37" s="4">
        <v>12.08798</v>
      </c>
      <c r="D37" s="4">
        <v>44.234389999999998</v>
      </c>
      <c r="E37">
        <v>10</v>
      </c>
      <c r="F37" s="6">
        <v>144055000</v>
      </c>
      <c r="H37" s="3" t="s">
        <v>63</v>
      </c>
    </row>
    <row r="38" spans="1:8" x14ac:dyDescent="0.3">
      <c r="A38">
        <v>36</v>
      </c>
      <c r="B38" s="3" t="s">
        <v>23</v>
      </c>
      <c r="C38" s="4">
        <v>12.269209999999999</v>
      </c>
      <c r="D38" s="4">
        <v>45.816160000000004</v>
      </c>
      <c r="E38">
        <v>10</v>
      </c>
      <c r="F38" s="6">
        <v>197108000</v>
      </c>
      <c r="H38" s="3" t="s">
        <v>13</v>
      </c>
    </row>
    <row r="39" spans="1:8" x14ac:dyDescent="0.3">
      <c r="A39">
        <v>37</v>
      </c>
      <c r="B39" s="3" t="s">
        <v>155</v>
      </c>
      <c r="C39" s="4">
        <v>12.2</v>
      </c>
      <c r="D39" s="4">
        <v>44.41</v>
      </c>
      <c r="E39" s="14">
        <v>10</v>
      </c>
      <c r="F39" s="5">
        <v>500000000</v>
      </c>
      <c r="G39" s="5"/>
      <c r="H39" s="3" t="s">
        <v>156</v>
      </c>
    </row>
    <row r="40" spans="1:8" x14ac:dyDescent="0.3">
      <c r="A40">
        <v>38</v>
      </c>
      <c r="B40" s="3" t="s">
        <v>151</v>
      </c>
      <c r="C40" s="15">
        <v>12.31551</v>
      </c>
      <c r="D40" s="15">
        <v>45.440840000000001</v>
      </c>
      <c r="E40">
        <v>10</v>
      </c>
      <c r="F40" s="5">
        <v>0</v>
      </c>
      <c r="H40" s="3" t="s">
        <v>152</v>
      </c>
    </row>
    <row r="41" spans="1:8" x14ac:dyDescent="0.3">
      <c r="A41">
        <v>39</v>
      </c>
      <c r="B41" s="3" t="s">
        <v>46</v>
      </c>
      <c r="C41" s="4">
        <v>12.74245</v>
      </c>
      <c r="D41" s="4">
        <v>46.17642</v>
      </c>
      <c r="E41">
        <v>10</v>
      </c>
      <c r="F41" s="6">
        <v>438034000</v>
      </c>
      <c r="G41">
        <v>438034000</v>
      </c>
      <c r="H41" s="3" t="s">
        <v>13</v>
      </c>
    </row>
    <row r="42" spans="1:8" x14ac:dyDescent="0.3">
      <c r="A42">
        <v>40</v>
      </c>
      <c r="B42" s="3" t="s">
        <v>108</v>
      </c>
      <c r="C42" s="4">
        <v>12.63189</v>
      </c>
      <c r="D42" s="4">
        <v>43.9803</v>
      </c>
      <c r="E42">
        <v>10</v>
      </c>
      <c r="F42" s="6">
        <v>128100192</v>
      </c>
      <c r="H42" s="3" t="s">
        <v>63</v>
      </c>
    </row>
    <row r="43" spans="1:8" x14ac:dyDescent="0.3">
      <c r="A43">
        <v>41</v>
      </c>
      <c r="B43" s="3" t="s">
        <v>106</v>
      </c>
      <c r="C43" s="4">
        <v>13.80006</v>
      </c>
      <c r="D43" s="4">
        <v>45.611739999999998</v>
      </c>
      <c r="E43">
        <v>10</v>
      </c>
      <c r="F43" s="6">
        <v>157981171</v>
      </c>
      <c r="H43" s="3" t="s">
        <v>63</v>
      </c>
    </row>
    <row r="44" spans="1:8" x14ac:dyDescent="0.3">
      <c r="A44">
        <v>42</v>
      </c>
      <c r="B44" s="3" t="s">
        <v>159</v>
      </c>
      <c r="C44" s="4">
        <v>12.274480000000001</v>
      </c>
      <c r="D44" s="4">
        <v>44.560099999999998</v>
      </c>
      <c r="E44" s="14">
        <v>10</v>
      </c>
      <c r="F44" s="5">
        <v>0</v>
      </c>
      <c r="G44" s="5"/>
      <c r="H44" s="3" t="s">
        <v>152</v>
      </c>
    </row>
    <row r="45" spans="1:8" x14ac:dyDescent="0.3">
      <c r="A45">
        <v>43</v>
      </c>
      <c r="B45" s="3" t="s">
        <v>157</v>
      </c>
      <c r="C45" s="15">
        <v>12.564</v>
      </c>
      <c r="D45" s="15">
        <v>44.387</v>
      </c>
      <c r="E45" s="14">
        <v>10</v>
      </c>
      <c r="F45" s="16">
        <v>0</v>
      </c>
      <c r="G45" s="16"/>
      <c r="H45" s="3" t="s">
        <v>158</v>
      </c>
    </row>
  </sheetData>
  <autoFilter ref="H1:H45" xr:uid="{E62ED1C5-EC61-2C46-8415-0BC31FC69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797F-F313-7A4E-BA7A-32A852278808}">
  <dimension ref="A1:AR44"/>
  <sheetViews>
    <sheetView workbookViewId="0">
      <pane xSplit="1" ySplit="1" topLeftCell="B2" activePane="bottomRight" state="frozen"/>
      <selection pane="topRight" activeCell="B1" sqref="B1"/>
      <selection pane="bottomLeft" activeCell="A2" sqref="A2"/>
      <selection pane="bottomRight" activeCell="J13" sqref="A1:AR44"/>
    </sheetView>
  </sheetViews>
  <sheetFormatPr defaultColWidth="11.19921875" defaultRowHeight="15.6" x14ac:dyDescent="0.3"/>
  <sheetData>
    <row r="1" spans="1:44" x14ac:dyDescent="0.3">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row>
    <row r="2" spans="1:44" x14ac:dyDescent="0.3">
      <c r="A2">
        <v>1</v>
      </c>
      <c r="B2">
        <v>0</v>
      </c>
      <c r="C2">
        <v>0</v>
      </c>
      <c r="D2" s="15">
        <v>67.498677000000001</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row>
    <row r="3" spans="1:44" x14ac:dyDescent="0.3">
      <c r="A3">
        <v>2</v>
      </c>
      <c r="B3">
        <v>0</v>
      </c>
      <c r="C3">
        <v>0</v>
      </c>
      <c r="D3">
        <v>0</v>
      </c>
      <c r="E3">
        <v>0</v>
      </c>
      <c r="F3">
        <v>0</v>
      </c>
      <c r="G3">
        <v>0</v>
      </c>
      <c r="H3">
        <v>0</v>
      </c>
      <c r="I3">
        <v>0</v>
      </c>
      <c r="J3">
        <v>0</v>
      </c>
      <c r="K3" s="17">
        <v>162.753703</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row>
    <row r="4" spans="1:44" x14ac:dyDescent="0.3">
      <c r="A4">
        <v>3</v>
      </c>
      <c r="B4">
        <v>0</v>
      </c>
      <c r="C4">
        <v>0</v>
      </c>
      <c r="D4">
        <v>0</v>
      </c>
      <c r="E4">
        <v>0</v>
      </c>
      <c r="F4">
        <v>0</v>
      </c>
      <c r="G4">
        <v>0</v>
      </c>
      <c r="H4" s="15">
        <v>51.447755000000001</v>
      </c>
      <c r="I4" s="15">
        <v>46.266944000000002</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row>
    <row r="5" spans="1:44" x14ac:dyDescent="0.3">
      <c r="A5">
        <v>4</v>
      </c>
      <c r="B5">
        <v>0</v>
      </c>
      <c r="C5">
        <v>0</v>
      </c>
      <c r="D5">
        <v>0</v>
      </c>
      <c r="E5">
        <v>0</v>
      </c>
      <c r="F5">
        <v>0</v>
      </c>
      <c r="G5">
        <v>0</v>
      </c>
      <c r="H5">
        <v>0</v>
      </c>
      <c r="I5">
        <v>0</v>
      </c>
      <c r="J5">
        <v>0</v>
      </c>
      <c r="K5">
        <v>0</v>
      </c>
      <c r="L5" s="15">
        <v>44.545323000000003</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row>
    <row r="6" spans="1:44" x14ac:dyDescent="0.3">
      <c r="A6">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row>
    <row r="7" spans="1:44" x14ac:dyDescent="0.3">
      <c r="A7">
        <v>6</v>
      </c>
      <c r="B7">
        <v>0</v>
      </c>
      <c r="C7">
        <v>0</v>
      </c>
      <c r="D7">
        <v>0</v>
      </c>
      <c r="E7">
        <v>0</v>
      </c>
      <c r="F7">
        <v>0</v>
      </c>
      <c r="G7">
        <v>0</v>
      </c>
      <c r="H7" s="15">
        <v>20.802578</v>
      </c>
      <c r="I7">
        <v>0</v>
      </c>
      <c r="J7">
        <v>0</v>
      </c>
      <c r="K7">
        <v>0</v>
      </c>
      <c r="L7">
        <v>0</v>
      </c>
      <c r="M7" s="15">
        <v>25.783560000000001</v>
      </c>
      <c r="N7" s="15">
        <v>22.862441</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row>
    <row r="8" spans="1:44" x14ac:dyDescent="0.3">
      <c r="A8">
        <v>7</v>
      </c>
      <c r="B8">
        <v>0</v>
      </c>
      <c r="C8">
        <v>0</v>
      </c>
      <c r="D8">
        <v>0</v>
      </c>
      <c r="E8">
        <v>0</v>
      </c>
      <c r="F8">
        <v>0</v>
      </c>
      <c r="G8" s="15">
        <v>20.802578</v>
      </c>
      <c r="H8">
        <v>0</v>
      </c>
      <c r="I8" s="15">
        <v>22.862441</v>
      </c>
      <c r="J8">
        <v>0</v>
      </c>
      <c r="K8">
        <v>0</v>
      </c>
      <c r="L8">
        <v>0</v>
      </c>
      <c r="M8">
        <v>0</v>
      </c>
      <c r="N8" s="15">
        <v>23.315864000000001</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row>
    <row r="9" spans="1:44" x14ac:dyDescent="0.3">
      <c r="A9">
        <v>8</v>
      </c>
      <c r="B9">
        <v>0</v>
      </c>
      <c r="C9">
        <v>0</v>
      </c>
      <c r="D9">
        <v>0</v>
      </c>
      <c r="E9">
        <v>0</v>
      </c>
      <c r="F9">
        <v>0</v>
      </c>
      <c r="G9">
        <v>0</v>
      </c>
      <c r="H9" s="15">
        <v>22.862441</v>
      </c>
      <c r="I9">
        <v>0</v>
      </c>
      <c r="J9">
        <v>0</v>
      </c>
      <c r="K9">
        <v>0</v>
      </c>
      <c r="L9">
        <v>0</v>
      </c>
      <c r="M9">
        <v>0</v>
      </c>
      <c r="N9" s="15">
        <v>37.751922999999998</v>
      </c>
      <c r="O9">
        <v>0</v>
      </c>
      <c r="P9" s="15">
        <v>50.102069999999998</v>
      </c>
      <c r="Q9" s="15">
        <v>85.539760999999999</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row>
    <row r="10" spans="1:44" x14ac:dyDescent="0.3">
      <c r="A10">
        <v>9</v>
      </c>
      <c r="B10">
        <v>0</v>
      </c>
      <c r="C10">
        <v>0</v>
      </c>
      <c r="D10">
        <v>0</v>
      </c>
      <c r="E10">
        <v>0</v>
      </c>
      <c r="F10">
        <v>0</v>
      </c>
      <c r="G10">
        <v>0</v>
      </c>
      <c r="H10">
        <v>0</v>
      </c>
      <c r="I10">
        <v>0</v>
      </c>
      <c r="J10">
        <v>0</v>
      </c>
      <c r="K10">
        <v>0</v>
      </c>
      <c r="L10">
        <v>0</v>
      </c>
      <c r="M10">
        <v>0</v>
      </c>
      <c r="N10" s="16">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row>
    <row r="11" spans="1:44" x14ac:dyDescent="0.3">
      <c r="A11">
        <v>10</v>
      </c>
      <c r="B11">
        <v>0</v>
      </c>
      <c r="C11">
        <v>0</v>
      </c>
      <c r="D11">
        <v>0</v>
      </c>
      <c r="E11">
        <v>0</v>
      </c>
      <c r="F11">
        <v>0</v>
      </c>
      <c r="G11">
        <v>0</v>
      </c>
      <c r="H11">
        <v>0</v>
      </c>
      <c r="I11">
        <v>0</v>
      </c>
      <c r="J11">
        <v>0</v>
      </c>
      <c r="K11">
        <v>0</v>
      </c>
      <c r="L11">
        <v>0</v>
      </c>
      <c r="M11">
        <v>0</v>
      </c>
      <c r="N11" s="16">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row>
    <row r="12" spans="1:44" x14ac:dyDescent="0.3">
      <c r="A12">
        <v>11</v>
      </c>
      <c r="B12">
        <v>0</v>
      </c>
      <c r="C12">
        <v>0</v>
      </c>
      <c r="D12">
        <v>0</v>
      </c>
      <c r="E12">
        <v>0</v>
      </c>
      <c r="F12">
        <v>0</v>
      </c>
      <c r="G12">
        <v>0</v>
      </c>
      <c r="H12">
        <v>0</v>
      </c>
      <c r="I12">
        <v>0</v>
      </c>
      <c r="J12">
        <v>0</v>
      </c>
      <c r="K12">
        <v>0</v>
      </c>
      <c r="L12">
        <v>0</v>
      </c>
      <c r="M12" s="15">
        <v>21.854559999999999</v>
      </c>
      <c r="N12" s="16">
        <v>0</v>
      </c>
      <c r="O12">
        <v>0</v>
      </c>
      <c r="P12">
        <v>0</v>
      </c>
      <c r="Q12">
        <v>0</v>
      </c>
      <c r="R12" s="15">
        <v>25.9618</v>
      </c>
      <c r="S12" s="15">
        <v>35.336075000000001</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row>
    <row r="13" spans="1:44" x14ac:dyDescent="0.3">
      <c r="A13">
        <v>12</v>
      </c>
      <c r="B13">
        <v>0</v>
      </c>
      <c r="C13">
        <v>0</v>
      </c>
      <c r="D13">
        <v>0</v>
      </c>
      <c r="E13">
        <v>0</v>
      </c>
      <c r="F13">
        <v>0</v>
      </c>
      <c r="G13" s="15">
        <v>25.783560000000001</v>
      </c>
      <c r="H13">
        <v>0</v>
      </c>
      <c r="I13">
        <v>0</v>
      </c>
      <c r="J13">
        <v>0</v>
      </c>
      <c r="K13">
        <v>0</v>
      </c>
      <c r="L13">
        <v>0</v>
      </c>
      <c r="M13">
        <v>0</v>
      </c>
      <c r="N13" s="16">
        <v>0</v>
      </c>
      <c r="O13" s="15">
        <v>13.188787</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row>
    <row r="14" spans="1:44" x14ac:dyDescent="0.3">
      <c r="A14">
        <v>13</v>
      </c>
      <c r="B14">
        <v>0</v>
      </c>
      <c r="C14">
        <v>0</v>
      </c>
      <c r="D14">
        <v>0</v>
      </c>
      <c r="E14">
        <v>0</v>
      </c>
      <c r="F14">
        <v>0</v>
      </c>
      <c r="G14">
        <v>0</v>
      </c>
      <c r="H14" s="15">
        <v>23.315864000000001</v>
      </c>
      <c r="I14">
        <v>0</v>
      </c>
      <c r="J14">
        <v>0</v>
      </c>
      <c r="K14">
        <v>0</v>
      </c>
      <c r="L14">
        <v>0</v>
      </c>
      <c r="M14">
        <v>0</v>
      </c>
      <c r="N14" s="16">
        <v>0</v>
      </c>
      <c r="O14" s="15">
        <v>15.490534999999999</v>
      </c>
      <c r="P14" s="15">
        <v>22.277087999999999</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row>
    <row r="15" spans="1:44" x14ac:dyDescent="0.3">
      <c r="A15">
        <v>14</v>
      </c>
      <c r="B15">
        <v>0</v>
      </c>
      <c r="C15">
        <v>0</v>
      </c>
      <c r="D15">
        <v>0</v>
      </c>
      <c r="E15">
        <v>0</v>
      </c>
      <c r="F15">
        <v>0</v>
      </c>
      <c r="G15">
        <v>0</v>
      </c>
      <c r="H15">
        <v>0</v>
      </c>
      <c r="I15">
        <v>0</v>
      </c>
      <c r="J15">
        <v>0</v>
      </c>
      <c r="K15">
        <v>0</v>
      </c>
      <c r="L15">
        <v>0</v>
      </c>
      <c r="M15">
        <v>0</v>
      </c>
      <c r="N15" s="16">
        <v>0</v>
      </c>
      <c r="O15">
        <v>0</v>
      </c>
      <c r="P15" s="15">
        <v>16.482937</v>
      </c>
      <c r="Q15">
        <v>0</v>
      </c>
      <c r="R15">
        <v>0</v>
      </c>
      <c r="S15">
        <v>0</v>
      </c>
      <c r="T15" s="15">
        <v>29.311585999999998</v>
      </c>
      <c r="U15">
        <v>0</v>
      </c>
      <c r="V15">
        <v>0</v>
      </c>
      <c r="W15">
        <v>0</v>
      </c>
      <c r="X15" s="15">
        <v>81.994527000000005</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row>
    <row r="16" spans="1:44" x14ac:dyDescent="0.3">
      <c r="A16">
        <v>15</v>
      </c>
      <c r="B16">
        <v>0</v>
      </c>
      <c r="C16">
        <v>0</v>
      </c>
      <c r="D16">
        <v>0</v>
      </c>
      <c r="E16">
        <v>0</v>
      </c>
      <c r="F16">
        <v>0</v>
      </c>
      <c r="G16">
        <v>0</v>
      </c>
      <c r="H16">
        <v>0</v>
      </c>
      <c r="I16">
        <v>0</v>
      </c>
      <c r="J16">
        <v>0</v>
      </c>
      <c r="K16">
        <v>0</v>
      </c>
      <c r="L16">
        <v>0</v>
      </c>
      <c r="M16">
        <v>0</v>
      </c>
      <c r="N16" s="16">
        <v>0</v>
      </c>
      <c r="O16">
        <v>0</v>
      </c>
      <c r="P16">
        <v>0</v>
      </c>
      <c r="Q16" s="15">
        <v>42.167819999999999</v>
      </c>
      <c r="R16">
        <v>0</v>
      </c>
      <c r="S16">
        <v>0</v>
      </c>
      <c r="T16">
        <v>0</v>
      </c>
      <c r="U16" s="15">
        <v>56.214207999999999</v>
      </c>
      <c r="V16">
        <v>0</v>
      </c>
      <c r="W16">
        <v>0</v>
      </c>
      <c r="X16" s="15">
        <v>83.770812000000006</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row>
    <row r="17" spans="1:44" x14ac:dyDescent="0.3">
      <c r="A17">
        <v>16</v>
      </c>
      <c r="B17">
        <v>0</v>
      </c>
      <c r="C17">
        <v>0</v>
      </c>
      <c r="D17">
        <v>0</v>
      </c>
      <c r="E17">
        <v>0</v>
      </c>
      <c r="F17">
        <v>0</v>
      </c>
      <c r="G17">
        <v>0</v>
      </c>
      <c r="H17">
        <v>0</v>
      </c>
      <c r="I17">
        <v>0</v>
      </c>
      <c r="J17">
        <v>0</v>
      </c>
      <c r="K17">
        <v>0</v>
      </c>
      <c r="L17">
        <v>0</v>
      </c>
      <c r="M17">
        <v>0</v>
      </c>
      <c r="N17" s="16">
        <v>0</v>
      </c>
      <c r="O17">
        <v>0</v>
      </c>
      <c r="P17">
        <v>0</v>
      </c>
      <c r="Q17">
        <v>0</v>
      </c>
      <c r="R17">
        <v>0</v>
      </c>
      <c r="S17">
        <v>0</v>
      </c>
      <c r="T17">
        <v>0</v>
      </c>
      <c r="U17" s="15">
        <v>34.683705000000003</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row>
    <row r="18" spans="1:44" x14ac:dyDescent="0.3">
      <c r="A18">
        <v>17</v>
      </c>
      <c r="B18">
        <v>0</v>
      </c>
      <c r="C18">
        <v>0</v>
      </c>
      <c r="D18">
        <v>0</v>
      </c>
      <c r="E18">
        <v>0</v>
      </c>
      <c r="F18">
        <v>0</v>
      </c>
      <c r="G18">
        <v>0</v>
      </c>
      <c r="H18">
        <v>0</v>
      </c>
      <c r="I18">
        <v>0</v>
      </c>
      <c r="J18">
        <v>0</v>
      </c>
      <c r="K18">
        <v>0</v>
      </c>
      <c r="L18">
        <v>0</v>
      </c>
      <c r="M18">
        <v>0</v>
      </c>
      <c r="N18" s="16">
        <v>0</v>
      </c>
      <c r="O18">
        <v>0</v>
      </c>
      <c r="P18">
        <v>0</v>
      </c>
      <c r="Q18">
        <v>0</v>
      </c>
      <c r="R18">
        <v>0</v>
      </c>
      <c r="S18" s="15">
        <v>19.827072999999999</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row>
    <row r="19" spans="1:44" x14ac:dyDescent="0.3">
      <c r="A19">
        <v>18</v>
      </c>
      <c r="B19">
        <v>0</v>
      </c>
      <c r="C19">
        <v>0</v>
      </c>
      <c r="D19">
        <v>0</v>
      </c>
      <c r="E19">
        <v>0</v>
      </c>
      <c r="F19">
        <v>0</v>
      </c>
      <c r="G19">
        <v>0</v>
      </c>
      <c r="H19">
        <v>0</v>
      </c>
      <c r="I19">
        <v>0</v>
      </c>
      <c r="J19">
        <v>0</v>
      </c>
      <c r="K19">
        <v>0</v>
      </c>
      <c r="L19">
        <v>0</v>
      </c>
      <c r="M19">
        <v>0</v>
      </c>
      <c r="N19" s="16">
        <v>0</v>
      </c>
      <c r="O19" s="15">
        <v>28.418644</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row>
    <row r="20" spans="1:44" x14ac:dyDescent="0.3">
      <c r="A20">
        <v>19</v>
      </c>
      <c r="B20">
        <v>0</v>
      </c>
      <c r="C20">
        <v>0</v>
      </c>
      <c r="D20">
        <v>0</v>
      </c>
      <c r="E20">
        <v>0</v>
      </c>
      <c r="F20">
        <v>0</v>
      </c>
      <c r="G20">
        <v>0</v>
      </c>
      <c r="H20">
        <v>0</v>
      </c>
      <c r="I20">
        <v>0</v>
      </c>
      <c r="J20">
        <v>0</v>
      </c>
      <c r="K20">
        <v>0</v>
      </c>
      <c r="L20">
        <v>0</v>
      </c>
      <c r="M20">
        <v>0</v>
      </c>
      <c r="N20" s="16">
        <v>0</v>
      </c>
      <c r="O20">
        <v>0</v>
      </c>
      <c r="P20">
        <v>0</v>
      </c>
      <c r="Q20">
        <v>0</v>
      </c>
      <c r="R20">
        <v>0</v>
      </c>
      <c r="S20">
        <v>0</v>
      </c>
      <c r="T20">
        <v>0</v>
      </c>
      <c r="U20" s="15">
        <v>73.977542</v>
      </c>
      <c r="V20">
        <v>0</v>
      </c>
      <c r="W20">
        <v>0</v>
      </c>
      <c r="X20" s="15">
        <v>50.840153000000001</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row>
    <row r="21" spans="1:44" x14ac:dyDescent="0.3">
      <c r="A21">
        <v>20</v>
      </c>
      <c r="B21">
        <v>0</v>
      </c>
      <c r="C21">
        <v>0</v>
      </c>
      <c r="D21">
        <v>0</v>
      </c>
      <c r="E21">
        <v>0</v>
      </c>
      <c r="F21">
        <v>0</v>
      </c>
      <c r="G21">
        <v>0</v>
      </c>
      <c r="H21">
        <v>0</v>
      </c>
      <c r="I21">
        <v>0</v>
      </c>
      <c r="J21">
        <v>0</v>
      </c>
      <c r="K21">
        <v>0</v>
      </c>
      <c r="L21">
        <v>0</v>
      </c>
      <c r="M21">
        <v>0</v>
      </c>
      <c r="N21" s="16">
        <v>0</v>
      </c>
      <c r="O21">
        <v>0</v>
      </c>
      <c r="P21">
        <v>0</v>
      </c>
      <c r="Q21">
        <v>0</v>
      </c>
      <c r="R21">
        <v>0</v>
      </c>
      <c r="S21">
        <v>0</v>
      </c>
      <c r="T21">
        <v>0</v>
      </c>
      <c r="U21" s="16">
        <v>0</v>
      </c>
      <c r="V21">
        <v>0</v>
      </c>
      <c r="W21">
        <v>0</v>
      </c>
      <c r="X21" s="15">
        <v>72.285728000000006</v>
      </c>
      <c r="Y21">
        <v>0</v>
      </c>
      <c r="Z21" s="15">
        <v>56.511955</v>
      </c>
      <c r="AA21" s="15">
        <v>131.56526700000001</v>
      </c>
      <c r="AB21">
        <v>0</v>
      </c>
      <c r="AC21">
        <v>0</v>
      </c>
      <c r="AD21" s="15">
        <v>164.63619600000001</v>
      </c>
      <c r="AE21">
        <v>0</v>
      </c>
      <c r="AF21">
        <v>0</v>
      </c>
      <c r="AG21" s="15">
        <v>170.04911000000001</v>
      </c>
      <c r="AH21">
        <v>0</v>
      </c>
      <c r="AI21">
        <v>0</v>
      </c>
      <c r="AJ21">
        <v>0</v>
      </c>
      <c r="AK21">
        <v>0</v>
      </c>
      <c r="AL21">
        <v>0</v>
      </c>
      <c r="AM21">
        <v>0</v>
      </c>
      <c r="AN21">
        <v>0</v>
      </c>
      <c r="AO21">
        <v>0</v>
      </c>
      <c r="AP21">
        <v>0</v>
      </c>
      <c r="AQ21">
        <v>0</v>
      </c>
      <c r="AR21">
        <v>0</v>
      </c>
    </row>
    <row r="22" spans="1:44" x14ac:dyDescent="0.3">
      <c r="A22">
        <v>21</v>
      </c>
      <c r="B22">
        <v>0</v>
      </c>
      <c r="C22">
        <v>0</v>
      </c>
      <c r="D22">
        <v>0</v>
      </c>
      <c r="E22">
        <v>0</v>
      </c>
      <c r="F22">
        <v>0</v>
      </c>
      <c r="G22">
        <v>0</v>
      </c>
      <c r="H22">
        <v>0</v>
      </c>
      <c r="I22">
        <v>0</v>
      </c>
      <c r="J22">
        <v>0</v>
      </c>
      <c r="K22">
        <v>0</v>
      </c>
      <c r="L22">
        <v>0</v>
      </c>
      <c r="M22">
        <v>0</v>
      </c>
      <c r="N22" s="16">
        <v>0</v>
      </c>
      <c r="O22">
        <v>0</v>
      </c>
      <c r="P22">
        <v>0</v>
      </c>
      <c r="Q22">
        <v>0</v>
      </c>
      <c r="R22">
        <v>0</v>
      </c>
      <c r="S22">
        <v>0</v>
      </c>
      <c r="T22">
        <v>0</v>
      </c>
      <c r="U22" s="16">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row>
    <row r="23" spans="1:44" x14ac:dyDescent="0.3">
      <c r="A23">
        <v>22</v>
      </c>
      <c r="B23">
        <v>0</v>
      </c>
      <c r="C23">
        <v>0</v>
      </c>
      <c r="D23">
        <v>0</v>
      </c>
      <c r="E23">
        <v>0</v>
      </c>
      <c r="F23">
        <v>0</v>
      </c>
      <c r="G23">
        <v>0</v>
      </c>
      <c r="H23">
        <v>0</v>
      </c>
      <c r="I23">
        <v>0</v>
      </c>
      <c r="J23">
        <v>0</v>
      </c>
      <c r="K23">
        <v>0</v>
      </c>
      <c r="L23">
        <v>0</v>
      </c>
      <c r="M23">
        <v>0</v>
      </c>
      <c r="N23" s="16">
        <v>0</v>
      </c>
      <c r="O23">
        <v>0</v>
      </c>
      <c r="P23">
        <v>0</v>
      </c>
      <c r="Q23">
        <v>0</v>
      </c>
      <c r="R23">
        <v>0</v>
      </c>
      <c r="S23">
        <v>0</v>
      </c>
      <c r="T23">
        <v>0</v>
      </c>
      <c r="U23" s="15">
        <v>95.661350999999996</v>
      </c>
      <c r="V23">
        <v>0</v>
      </c>
      <c r="W23">
        <v>0</v>
      </c>
      <c r="X23" s="15">
        <v>27.061205000000001</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row>
    <row r="24" spans="1:44" x14ac:dyDescent="0.3">
      <c r="A24">
        <v>23</v>
      </c>
      <c r="B24">
        <v>0</v>
      </c>
      <c r="C24">
        <v>0</v>
      </c>
      <c r="D24">
        <v>0</v>
      </c>
      <c r="E24">
        <v>0</v>
      </c>
      <c r="F24">
        <v>0</v>
      </c>
      <c r="G24">
        <v>0</v>
      </c>
      <c r="H24">
        <v>0</v>
      </c>
      <c r="I24">
        <v>0</v>
      </c>
      <c r="J24">
        <v>0</v>
      </c>
      <c r="K24">
        <v>0</v>
      </c>
      <c r="L24">
        <v>0</v>
      </c>
      <c r="M24">
        <v>0</v>
      </c>
      <c r="N24" s="16">
        <v>0</v>
      </c>
      <c r="O24">
        <v>0</v>
      </c>
      <c r="P24">
        <v>0</v>
      </c>
      <c r="Q24">
        <v>0</v>
      </c>
      <c r="R24">
        <v>0</v>
      </c>
      <c r="S24">
        <v>0</v>
      </c>
      <c r="T24">
        <v>0</v>
      </c>
      <c r="U24">
        <v>0</v>
      </c>
      <c r="V24">
        <v>0</v>
      </c>
      <c r="W24">
        <v>0</v>
      </c>
      <c r="X24" s="16">
        <v>0</v>
      </c>
      <c r="Y24" s="15">
        <v>9.2220289999999991</v>
      </c>
      <c r="Z24" s="15">
        <v>81.185001999999997</v>
      </c>
      <c r="AA24">
        <v>0</v>
      </c>
      <c r="AB24">
        <v>0</v>
      </c>
      <c r="AC24">
        <v>0</v>
      </c>
      <c r="AD24">
        <v>0</v>
      </c>
      <c r="AE24">
        <v>0</v>
      </c>
      <c r="AF24">
        <v>0</v>
      </c>
      <c r="AG24">
        <v>0</v>
      </c>
      <c r="AH24">
        <v>0</v>
      </c>
      <c r="AI24">
        <v>0</v>
      </c>
      <c r="AJ24">
        <v>0</v>
      </c>
      <c r="AK24">
        <v>0</v>
      </c>
      <c r="AL24">
        <v>0</v>
      </c>
      <c r="AM24">
        <v>0</v>
      </c>
      <c r="AN24">
        <v>0</v>
      </c>
      <c r="AO24">
        <v>0</v>
      </c>
      <c r="AP24">
        <v>0</v>
      </c>
      <c r="AQ24">
        <v>0</v>
      </c>
      <c r="AR24">
        <v>0</v>
      </c>
    </row>
    <row r="25" spans="1:44" x14ac:dyDescent="0.3">
      <c r="A25">
        <v>24</v>
      </c>
      <c r="B25">
        <v>0</v>
      </c>
      <c r="C25">
        <v>0</v>
      </c>
      <c r="D25">
        <v>0</v>
      </c>
      <c r="E25">
        <v>0</v>
      </c>
      <c r="F25">
        <v>0</v>
      </c>
      <c r="G25">
        <v>0</v>
      </c>
      <c r="H25">
        <v>0</v>
      </c>
      <c r="I25">
        <v>0</v>
      </c>
      <c r="J25">
        <v>0</v>
      </c>
      <c r="K25">
        <v>0</v>
      </c>
      <c r="L25">
        <v>0</v>
      </c>
      <c r="M25">
        <v>0</v>
      </c>
      <c r="N25" s="16">
        <v>0</v>
      </c>
      <c r="O25">
        <v>0</v>
      </c>
      <c r="P25">
        <v>0</v>
      </c>
      <c r="Q25">
        <v>0</v>
      </c>
      <c r="R25">
        <v>0</v>
      </c>
      <c r="S25">
        <v>0</v>
      </c>
      <c r="T25">
        <v>0</v>
      </c>
      <c r="U25">
        <v>0</v>
      </c>
      <c r="V25">
        <v>0</v>
      </c>
      <c r="W25">
        <v>0</v>
      </c>
      <c r="X25" s="16">
        <v>0</v>
      </c>
      <c r="Y25">
        <v>0</v>
      </c>
      <c r="Z25">
        <v>0</v>
      </c>
      <c r="AA25" s="15">
        <v>57.469918</v>
      </c>
      <c r="AB25">
        <v>0</v>
      </c>
      <c r="AC25">
        <v>0</v>
      </c>
      <c r="AD25">
        <v>0</v>
      </c>
      <c r="AE25">
        <v>0</v>
      </c>
      <c r="AF25">
        <v>0</v>
      </c>
      <c r="AG25">
        <v>0</v>
      </c>
      <c r="AH25">
        <v>0</v>
      </c>
      <c r="AI25">
        <v>0</v>
      </c>
      <c r="AJ25">
        <v>0</v>
      </c>
      <c r="AK25">
        <v>0</v>
      </c>
      <c r="AL25">
        <v>0</v>
      </c>
      <c r="AM25">
        <v>0</v>
      </c>
      <c r="AN25">
        <v>0</v>
      </c>
      <c r="AO25">
        <v>0</v>
      </c>
      <c r="AP25">
        <v>0</v>
      </c>
      <c r="AQ25">
        <v>0</v>
      </c>
      <c r="AR25">
        <v>0</v>
      </c>
    </row>
    <row r="26" spans="1:44" x14ac:dyDescent="0.3">
      <c r="A26">
        <v>25</v>
      </c>
      <c r="B26">
        <v>0</v>
      </c>
      <c r="C26">
        <v>0</v>
      </c>
      <c r="D26">
        <v>0</v>
      </c>
      <c r="E26">
        <v>0</v>
      </c>
      <c r="F26">
        <v>0</v>
      </c>
      <c r="G26">
        <v>0</v>
      </c>
      <c r="H26">
        <v>0</v>
      </c>
      <c r="I26">
        <v>0</v>
      </c>
      <c r="J26">
        <v>0</v>
      </c>
      <c r="K26">
        <v>0</v>
      </c>
      <c r="L26">
        <v>0</v>
      </c>
      <c r="M26">
        <v>0</v>
      </c>
      <c r="N26" s="16">
        <v>0</v>
      </c>
      <c r="O26">
        <v>0</v>
      </c>
      <c r="P26">
        <v>0</v>
      </c>
      <c r="Q26">
        <v>0</v>
      </c>
      <c r="R26">
        <v>0</v>
      </c>
      <c r="S26">
        <v>0</v>
      </c>
      <c r="T26">
        <v>0</v>
      </c>
      <c r="U26">
        <v>0</v>
      </c>
      <c r="V26">
        <v>0</v>
      </c>
      <c r="W26">
        <v>0</v>
      </c>
      <c r="X26" s="16">
        <v>0</v>
      </c>
      <c r="Y26">
        <v>0</v>
      </c>
      <c r="Z26">
        <v>0</v>
      </c>
      <c r="AA26">
        <v>0</v>
      </c>
      <c r="AB26" s="15">
        <v>50.712477999999997</v>
      </c>
      <c r="AC26">
        <v>0</v>
      </c>
      <c r="AD26">
        <v>0</v>
      </c>
      <c r="AE26">
        <v>0</v>
      </c>
      <c r="AF26">
        <v>0</v>
      </c>
      <c r="AG26">
        <v>0</v>
      </c>
      <c r="AH26">
        <v>0</v>
      </c>
      <c r="AI26">
        <v>0</v>
      </c>
      <c r="AJ26">
        <v>0</v>
      </c>
      <c r="AK26">
        <v>0</v>
      </c>
      <c r="AL26">
        <v>0</v>
      </c>
      <c r="AM26">
        <v>0</v>
      </c>
      <c r="AN26">
        <v>0</v>
      </c>
      <c r="AO26">
        <v>0</v>
      </c>
      <c r="AP26">
        <v>0</v>
      </c>
      <c r="AQ26">
        <v>0</v>
      </c>
      <c r="AR26">
        <v>0</v>
      </c>
    </row>
    <row r="27" spans="1:44" x14ac:dyDescent="0.3">
      <c r="A27">
        <v>26</v>
      </c>
      <c r="B27">
        <v>0</v>
      </c>
      <c r="C27">
        <v>0</v>
      </c>
      <c r="D27">
        <v>0</v>
      </c>
      <c r="E27">
        <v>0</v>
      </c>
      <c r="F27">
        <v>0</v>
      </c>
      <c r="G27">
        <v>0</v>
      </c>
      <c r="H27">
        <v>0</v>
      </c>
      <c r="I27">
        <v>0</v>
      </c>
      <c r="J27">
        <v>0</v>
      </c>
      <c r="K27">
        <v>0</v>
      </c>
      <c r="L27">
        <v>0</v>
      </c>
      <c r="M27">
        <v>0</v>
      </c>
      <c r="N27" s="16">
        <v>0</v>
      </c>
      <c r="O27">
        <v>0</v>
      </c>
      <c r="P27">
        <v>0</v>
      </c>
      <c r="Q27">
        <v>0</v>
      </c>
      <c r="R27">
        <v>0</v>
      </c>
      <c r="S27">
        <v>0</v>
      </c>
      <c r="T27">
        <v>0</v>
      </c>
      <c r="U27">
        <v>0</v>
      </c>
      <c r="V27">
        <v>0</v>
      </c>
      <c r="W27">
        <v>0</v>
      </c>
      <c r="X27" s="16">
        <v>0</v>
      </c>
      <c r="Y27">
        <v>0</v>
      </c>
      <c r="Z27">
        <v>0</v>
      </c>
      <c r="AA27">
        <v>0</v>
      </c>
      <c r="AB27" s="15">
        <v>89.725183999999999</v>
      </c>
      <c r="AC27">
        <v>0</v>
      </c>
      <c r="AD27" s="15">
        <v>88.808969000000005</v>
      </c>
      <c r="AE27">
        <v>0</v>
      </c>
      <c r="AF27" s="15">
        <v>71.593446999999998</v>
      </c>
      <c r="AG27" s="15">
        <v>71.278778000000003</v>
      </c>
      <c r="AH27">
        <v>0</v>
      </c>
      <c r="AI27" s="15">
        <v>77.624143000000004</v>
      </c>
      <c r="AJ27">
        <v>0</v>
      </c>
      <c r="AK27">
        <v>0</v>
      </c>
      <c r="AL27">
        <v>0</v>
      </c>
      <c r="AM27">
        <v>0</v>
      </c>
      <c r="AN27">
        <v>0</v>
      </c>
      <c r="AO27">
        <v>0</v>
      </c>
      <c r="AP27">
        <v>0</v>
      </c>
      <c r="AQ27">
        <v>0</v>
      </c>
      <c r="AR27">
        <v>0</v>
      </c>
    </row>
    <row r="28" spans="1:44" x14ac:dyDescent="0.3">
      <c r="A28">
        <v>27</v>
      </c>
      <c r="B28">
        <v>0</v>
      </c>
      <c r="C28">
        <v>0</v>
      </c>
      <c r="D28">
        <v>0</v>
      </c>
      <c r="E28">
        <v>0</v>
      </c>
      <c r="F28">
        <v>0</v>
      </c>
      <c r="G28">
        <v>0</v>
      </c>
      <c r="H28">
        <v>0</v>
      </c>
      <c r="I28">
        <v>0</v>
      </c>
      <c r="J28">
        <v>0</v>
      </c>
      <c r="K28">
        <v>0</v>
      </c>
      <c r="L28">
        <v>0</v>
      </c>
      <c r="M28">
        <v>0</v>
      </c>
      <c r="N28" s="16">
        <v>0</v>
      </c>
      <c r="O28">
        <v>0</v>
      </c>
      <c r="P28">
        <v>0</v>
      </c>
      <c r="Q28">
        <v>0</v>
      </c>
      <c r="R28">
        <v>0</v>
      </c>
      <c r="S28">
        <v>0</v>
      </c>
      <c r="T28">
        <v>0</v>
      </c>
      <c r="U28">
        <v>0</v>
      </c>
      <c r="V28">
        <v>0</v>
      </c>
      <c r="W28">
        <v>0</v>
      </c>
      <c r="X28" s="16">
        <v>0</v>
      </c>
      <c r="Y28">
        <v>0</v>
      </c>
      <c r="Z28">
        <v>0</v>
      </c>
      <c r="AA28">
        <v>0</v>
      </c>
      <c r="AB28">
        <v>0</v>
      </c>
      <c r="AC28">
        <v>0</v>
      </c>
      <c r="AD28" s="15">
        <v>61.266247</v>
      </c>
      <c r="AE28" s="15">
        <v>47.128594999999997</v>
      </c>
      <c r="AF28">
        <v>0</v>
      </c>
      <c r="AG28">
        <v>0</v>
      </c>
      <c r="AH28">
        <v>0</v>
      </c>
      <c r="AI28">
        <v>0</v>
      </c>
      <c r="AJ28">
        <v>0</v>
      </c>
      <c r="AK28">
        <v>0</v>
      </c>
      <c r="AL28">
        <v>0</v>
      </c>
      <c r="AM28">
        <v>0</v>
      </c>
      <c r="AN28">
        <v>0</v>
      </c>
      <c r="AO28">
        <v>0</v>
      </c>
      <c r="AP28">
        <v>0</v>
      </c>
      <c r="AQ28">
        <v>0</v>
      </c>
      <c r="AR28">
        <v>0</v>
      </c>
    </row>
    <row r="29" spans="1:44" x14ac:dyDescent="0.3">
      <c r="A29">
        <v>28</v>
      </c>
      <c r="B29">
        <v>0</v>
      </c>
      <c r="C29">
        <v>0</v>
      </c>
      <c r="D29">
        <v>0</v>
      </c>
      <c r="E29">
        <v>0</v>
      </c>
      <c r="F29">
        <v>0</v>
      </c>
      <c r="G29">
        <v>0</v>
      </c>
      <c r="H29">
        <v>0</v>
      </c>
      <c r="I29">
        <v>0</v>
      </c>
      <c r="J29">
        <v>0</v>
      </c>
      <c r="K29">
        <v>0</v>
      </c>
      <c r="L29">
        <v>0</v>
      </c>
      <c r="M29">
        <v>0</v>
      </c>
      <c r="N29" s="16">
        <v>0</v>
      </c>
      <c r="O29">
        <v>0</v>
      </c>
      <c r="P29">
        <v>0</v>
      </c>
      <c r="Q29">
        <v>0</v>
      </c>
      <c r="R29">
        <v>0</v>
      </c>
      <c r="S29">
        <v>0</v>
      </c>
      <c r="T29">
        <v>0</v>
      </c>
      <c r="U29">
        <v>0</v>
      </c>
      <c r="V29">
        <v>0</v>
      </c>
      <c r="W29">
        <v>0</v>
      </c>
      <c r="X29" s="16">
        <v>0</v>
      </c>
      <c r="Y29">
        <v>0</v>
      </c>
      <c r="Z29">
        <v>0</v>
      </c>
      <c r="AA29" s="15">
        <v>138.66159400000001</v>
      </c>
      <c r="AB29">
        <v>0</v>
      </c>
      <c r="AC29">
        <v>0</v>
      </c>
      <c r="AD29">
        <v>0</v>
      </c>
      <c r="AE29">
        <v>0</v>
      </c>
      <c r="AF29">
        <v>0</v>
      </c>
      <c r="AG29">
        <v>0</v>
      </c>
      <c r="AH29" s="15">
        <v>118.810073</v>
      </c>
      <c r="AI29">
        <v>0</v>
      </c>
      <c r="AJ29">
        <v>0</v>
      </c>
      <c r="AK29">
        <v>0</v>
      </c>
      <c r="AL29">
        <v>0</v>
      </c>
      <c r="AM29">
        <v>0</v>
      </c>
      <c r="AN29">
        <v>0</v>
      </c>
      <c r="AO29">
        <v>0</v>
      </c>
      <c r="AP29">
        <v>0</v>
      </c>
      <c r="AQ29">
        <v>0</v>
      </c>
      <c r="AR29">
        <v>0</v>
      </c>
    </row>
    <row r="30" spans="1:44" x14ac:dyDescent="0.3">
      <c r="A30">
        <v>29</v>
      </c>
      <c r="B30">
        <v>0</v>
      </c>
      <c r="C30">
        <v>0</v>
      </c>
      <c r="D30">
        <v>0</v>
      </c>
      <c r="E30">
        <v>0</v>
      </c>
      <c r="F30">
        <v>0</v>
      </c>
      <c r="G30">
        <v>0</v>
      </c>
      <c r="H30">
        <v>0</v>
      </c>
      <c r="I30">
        <v>0</v>
      </c>
      <c r="J30">
        <v>0</v>
      </c>
      <c r="K30">
        <v>0</v>
      </c>
      <c r="L30">
        <v>0</v>
      </c>
      <c r="M30">
        <v>0</v>
      </c>
      <c r="N30" s="16">
        <v>0</v>
      </c>
      <c r="O30">
        <v>0</v>
      </c>
      <c r="P30">
        <v>0</v>
      </c>
      <c r="Q30">
        <v>0</v>
      </c>
      <c r="R30">
        <v>0</v>
      </c>
      <c r="S30">
        <v>0</v>
      </c>
      <c r="T30">
        <v>0</v>
      </c>
      <c r="U30">
        <v>0</v>
      </c>
      <c r="V30">
        <v>0</v>
      </c>
      <c r="W30">
        <v>0</v>
      </c>
      <c r="X30" s="16">
        <v>0</v>
      </c>
      <c r="Y30">
        <v>0</v>
      </c>
      <c r="Z30">
        <v>0</v>
      </c>
      <c r="AA30">
        <v>0</v>
      </c>
      <c r="AB30">
        <v>0</v>
      </c>
      <c r="AC30">
        <v>0</v>
      </c>
      <c r="AD30">
        <v>0</v>
      </c>
      <c r="AE30" s="15">
        <v>44.639468999999998</v>
      </c>
      <c r="AF30">
        <v>0</v>
      </c>
      <c r="AG30" s="15">
        <v>23.036681999999999</v>
      </c>
      <c r="AH30">
        <v>0</v>
      </c>
      <c r="AI30">
        <v>0</v>
      </c>
      <c r="AJ30">
        <v>0</v>
      </c>
      <c r="AK30">
        <v>0</v>
      </c>
      <c r="AL30" s="15">
        <v>74.774522000000005</v>
      </c>
      <c r="AM30">
        <v>0</v>
      </c>
      <c r="AN30">
        <v>0</v>
      </c>
      <c r="AO30">
        <v>0</v>
      </c>
      <c r="AP30">
        <v>0</v>
      </c>
      <c r="AQ30" s="16">
        <v>0</v>
      </c>
      <c r="AR30">
        <v>0</v>
      </c>
    </row>
    <row r="31" spans="1:44" x14ac:dyDescent="0.3">
      <c r="A31">
        <v>30</v>
      </c>
      <c r="B31">
        <v>0</v>
      </c>
      <c r="C31">
        <v>0</v>
      </c>
      <c r="D31">
        <v>0</v>
      </c>
      <c r="E31">
        <v>0</v>
      </c>
      <c r="F31">
        <v>0</v>
      </c>
      <c r="G31">
        <v>0</v>
      </c>
      <c r="H31">
        <v>0</v>
      </c>
      <c r="I31">
        <v>0</v>
      </c>
      <c r="J31">
        <v>0</v>
      </c>
      <c r="K31">
        <v>0</v>
      </c>
      <c r="L31">
        <v>0</v>
      </c>
      <c r="M31">
        <v>0</v>
      </c>
      <c r="N31" s="16">
        <v>0</v>
      </c>
      <c r="O31">
        <v>0</v>
      </c>
      <c r="P31">
        <v>0</v>
      </c>
      <c r="Q31">
        <v>0</v>
      </c>
      <c r="R31">
        <v>0</v>
      </c>
      <c r="S31">
        <v>0</v>
      </c>
      <c r="T31">
        <v>0</v>
      </c>
      <c r="U31">
        <v>0</v>
      </c>
      <c r="V31">
        <v>0</v>
      </c>
      <c r="W31">
        <v>0</v>
      </c>
      <c r="X31" s="16">
        <v>0</v>
      </c>
      <c r="Y31">
        <v>0</v>
      </c>
      <c r="Z31">
        <v>0</v>
      </c>
      <c r="AA31">
        <v>0</v>
      </c>
      <c r="AB31">
        <v>0</v>
      </c>
      <c r="AC31">
        <v>0</v>
      </c>
      <c r="AD31">
        <v>0</v>
      </c>
      <c r="AE31">
        <v>0</v>
      </c>
      <c r="AF31">
        <v>0</v>
      </c>
      <c r="AG31">
        <v>0</v>
      </c>
      <c r="AH31">
        <v>0</v>
      </c>
      <c r="AI31">
        <v>0</v>
      </c>
      <c r="AJ31" s="15">
        <v>71.887703000000002</v>
      </c>
      <c r="AK31">
        <v>0</v>
      </c>
      <c r="AL31" s="15">
        <v>65.388446999999999</v>
      </c>
      <c r="AM31">
        <v>0</v>
      </c>
      <c r="AN31">
        <v>0</v>
      </c>
      <c r="AO31">
        <v>0</v>
      </c>
      <c r="AP31">
        <v>0</v>
      </c>
      <c r="AQ31">
        <v>0</v>
      </c>
      <c r="AR31">
        <v>0</v>
      </c>
    </row>
    <row r="32" spans="1:44" x14ac:dyDescent="0.3">
      <c r="A32">
        <v>31</v>
      </c>
      <c r="B32">
        <v>0</v>
      </c>
      <c r="C32">
        <v>0</v>
      </c>
      <c r="D32">
        <v>0</v>
      </c>
      <c r="E32">
        <v>0</v>
      </c>
      <c r="F32">
        <v>0</v>
      </c>
      <c r="G32">
        <v>0</v>
      </c>
      <c r="H32">
        <v>0</v>
      </c>
      <c r="I32">
        <v>0</v>
      </c>
      <c r="J32">
        <v>0</v>
      </c>
      <c r="K32">
        <v>0</v>
      </c>
      <c r="L32">
        <v>0</v>
      </c>
      <c r="M32">
        <v>0</v>
      </c>
      <c r="N32" s="16">
        <v>0</v>
      </c>
      <c r="O32">
        <v>0</v>
      </c>
      <c r="P32">
        <v>0</v>
      </c>
      <c r="Q32">
        <v>0</v>
      </c>
      <c r="R32">
        <v>0</v>
      </c>
      <c r="S32">
        <v>0</v>
      </c>
      <c r="T32">
        <v>0</v>
      </c>
      <c r="U32">
        <v>0</v>
      </c>
      <c r="V32">
        <v>0</v>
      </c>
      <c r="W32">
        <v>0</v>
      </c>
      <c r="X32" s="16">
        <v>0</v>
      </c>
      <c r="Y32">
        <v>0</v>
      </c>
      <c r="Z32">
        <v>0</v>
      </c>
      <c r="AA32">
        <v>0</v>
      </c>
      <c r="AB32">
        <v>0</v>
      </c>
      <c r="AC32">
        <v>0</v>
      </c>
      <c r="AD32">
        <v>0</v>
      </c>
      <c r="AE32">
        <v>0</v>
      </c>
      <c r="AF32">
        <v>0</v>
      </c>
      <c r="AG32" s="15">
        <v>26.392489999999999</v>
      </c>
      <c r="AH32">
        <v>0</v>
      </c>
      <c r="AI32" s="15">
        <v>26.415151000000002</v>
      </c>
      <c r="AJ32">
        <v>0</v>
      </c>
      <c r="AK32">
        <v>0</v>
      </c>
      <c r="AL32">
        <v>0</v>
      </c>
      <c r="AM32">
        <v>0</v>
      </c>
      <c r="AN32">
        <v>0</v>
      </c>
      <c r="AO32">
        <v>0</v>
      </c>
      <c r="AP32">
        <v>0</v>
      </c>
      <c r="AQ32">
        <v>0</v>
      </c>
      <c r="AR32">
        <v>0</v>
      </c>
    </row>
    <row r="33" spans="1:44" x14ac:dyDescent="0.3">
      <c r="A33">
        <v>32</v>
      </c>
      <c r="B33">
        <v>0</v>
      </c>
      <c r="C33">
        <v>0</v>
      </c>
      <c r="D33">
        <v>0</v>
      </c>
      <c r="E33">
        <v>0</v>
      </c>
      <c r="F33">
        <v>0</v>
      </c>
      <c r="G33">
        <v>0</v>
      </c>
      <c r="H33">
        <v>0</v>
      </c>
      <c r="I33">
        <v>0</v>
      </c>
      <c r="J33">
        <v>0</v>
      </c>
      <c r="K33">
        <v>0</v>
      </c>
      <c r="L33">
        <v>0</v>
      </c>
      <c r="M33">
        <v>0</v>
      </c>
      <c r="N33" s="16">
        <v>0</v>
      </c>
      <c r="O33">
        <v>0</v>
      </c>
      <c r="P33">
        <v>0</v>
      </c>
      <c r="Q33">
        <v>0</v>
      </c>
      <c r="R33">
        <v>0</v>
      </c>
      <c r="S33">
        <v>0</v>
      </c>
      <c r="T33">
        <v>0</v>
      </c>
      <c r="U33">
        <v>0</v>
      </c>
      <c r="V33">
        <v>0</v>
      </c>
      <c r="W33">
        <v>0</v>
      </c>
      <c r="X33" s="16">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row>
    <row r="34" spans="1:44" x14ac:dyDescent="0.3">
      <c r="A34">
        <v>33</v>
      </c>
      <c r="B34">
        <v>0</v>
      </c>
      <c r="C34">
        <v>0</v>
      </c>
      <c r="D34">
        <v>0</v>
      </c>
      <c r="E34">
        <v>0</v>
      </c>
      <c r="F34">
        <v>0</v>
      </c>
      <c r="G34">
        <v>0</v>
      </c>
      <c r="H34">
        <v>0</v>
      </c>
      <c r="I34">
        <v>0</v>
      </c>
      <c r="J34">
        <v>0</v>
      </c>
      <c r="K34">
        <v>0</v>
      </c>
      <c r="L34">
        <v>0</v>
      </c>
      <c r="M34">
        <v>0</v>
      </c>
      <c r="N34" s="16">
        <v>0</v>
      </c>
      <c r="O34">
        <v>0</v>
      </c>
      <c r="P34">
        <v>0</v>
      </c>
      <c r="Q34">
        <v>0</v>
      </c>
      <c r="R34">
        <v>0</v>
      </c>
      <c r="S34">
        <v>0</v>
      </c>
      <c r="T34">
        <v>0</v>
      </c>
      <c r="U34">
        <v>0</v>
      </c>
      <c r="V34">
        <v>0</v>
      </c>
      <c r="W34">
        <v>0</v>
      </c>
      <c r="X34" s="16">
        <v>0</v>
      </c>
      <c r="Y34">
        <v>0</v>
      </c>
      <c r="Z34">
        <v>0</v>
      </c>
      <c r="AA34">
        <v>0</v>
      </c>
      <c r="AB34">
        <v>0</v>
      </c>
      <c r="AC34">
        <v>0</v>
      </c>
      <c r="AD34">
        <v>0</v>
      </c>
      <c r="AE34">
        <v>0</v>
      </c>
      <c r="AF34">
        <v>0</v>
      </c>
      <c r="AG34">
        <v>0</v>
      </c>
      <c r="AH34">
        <v>0</v>
      </c>
      <c r="AI34" s="15">
        <v>68.766360000000006</v>
      </c>
      <c r="AJ34">
        <v>0</v>
      </c>
      <c r="AK34" s="15">
        <v>32.566769000000001</v>
      </c>
      <c r="AL34">
        <v>0</v>
      </c>
      <c r="AM34" s="15">
        <v>65.568324000000004</v>
      </c>
      <c r="AN34">
        <v>0</v>
      </c>
      <c r="AO34">
        <v>0</v>
      </c>
      <c r="AP34">
        <v>0</v>
      </c>
      <c r="AQ34">
        <v>0</v>
      </c>
      <c r="AR34">
        <v>0</v>
      </c>
    </row>
    <row r="35" spans="1:44" x14ac:dyDescent="0.3">
      <c r="A35">
        <v>34</v>
      </c>
      <c r="B35">
        <v>0</v>
      </c>
      <c r="C35">
        <v>0</v>
      </c>
      <c r="D35">
        <v>0</v>
      </c>
      <c r="E35">
        <v>0</v>
      </c>
      <c r="F35">
        <v>0</v>
      </c>
      <c r="G35">
        <v>0</v>
      </c>
      <c r="H35">
        <v>0</v>
      </c>
      <c r="I35">
        <v>0</v>
      </c>
      <c r="J35">
        <v>0</v>
      </c>
      <c r="K35">
        <v>0</v>
      </c>
      <c r="L35">
        <v>0</v>
      </c>
      <c r="M35">
        <v>0</v>
      </c>
      <c r="N35" s="16">
        <v>0</v>
      </c>
      <c r="O35">
        <v>0</v>
      </c>
      <c r="P35">
        <v>0</v>
      </c>
      <c r="Q35">
        <v>0</v>
      </c>
      <c r="R35">
        <v>0</v>
      </c>
      <c r="S35">
        <v>0</v>
      </c>
      <c r="T35">
        <v>0</v>
      </c>
      <c r="U35">
        <v>0</v>
      </c>
      <c r="V35">
        <v>0</v>
      </c>
      <c r="W35">
        <v>0</v>
      </c>
      <c r="X35" s="16">
        <v>0</v>
      </c>
      <c r="Y35">
        <v>0</v>
      </c>
      <c r="Z35">
        <v>0</v>
      </c>
      <c r="AA35">
        <v>0</v>
      </c>
      <c r="AB35">
        <v>0</v>
      </c>
      <c r="AC35">
        <v>0</v>
      </c>
      <c r="AD35">
        <v>0</v>
      </c>
      <c r="AE35">
        <v>0</v>
      </c>
      <c r="AF35">
        <v>0</v>
      </c>
      <c r="AG35">
        <v>0</v>
      </c>
      <c r="AH35">
        <v>0</v>
      </c>
      <c r="AI35">
        <v>0</v>
      </c>
      <c r="AJ35">
        <v>0</v>
      </c>
      <c r="AK35">
        <v>0</v>
      </c>
      <c r="AL35">
        <v>0</v>
      </c>
      <c r="AM35" s="15">
        <v>29.828423000000001</v>
      </c>
      <c r="AN35">
        <v>0</v>
      </c>
      <c r="AO35">
        <v>0</v>
      </c>
      <c r="AP35">
        <v>0</v>
      </c>
      <c r="AQ35">
        <v>0</v>
      </c>
      <c r="AR35">
        <v>0</v>
      </c>
    </row>
    <row r="36" spans="1:44" x14ac:dyDescent="0.3">
      <c r="A36">
        <v>35</v>
      </c>
      <c r="B36">
        <v>0</v>
      </c>
      <c r="C36">
        <v>0</v>
      </c>
      <c r="D36">
        <v>0</v>
      </c>
      <c r="E36">
        <v>0</v>
      </c>
      <c r="F36">
        <v>0</v>
      </c>
      <c r="G36">
        <v>0</v>
      </c>
      <c r="H36">
        <v>0</v>
      </c>
      <c r="I36">
        <v>0</v>
      </c>
      <c r="J36">
        <v>0</v>
      </c>
      <c r="K36">
        <v>0</v>
      </c>
      <c r="L36">
        <v>0</v>
      </c>
      <c r="M36">
        <v>0</v>
      </c>
      <c r="N36" s="16">
        <v>0</v>
      </c>
      <c r="O36">
        <v>0</v>
      </c>
      <c r="P36">
        <v>0</v>
      </c>
      <c r="Q36">
        <v>0</v>
      </c>
      <c r="R36">
        <v>0</v>
      </c>
      <c r="S36">
        <v>0</v>
      </c>
      <c r="T36">
        <v>0</v>
      </c>
      <c r="U36">
        <v>0</v>
      </c>
      <c r="V36">
        <v>0</v>
      </c>
      <c r="W36">
        <v>0</v>
      </c>
      <c r="X36" s="16">
        <v>0</v>
      </c>
      <c r="Y36">
        <v>0</v>
      </c>
      <c r="Z36">
        <v>0</v>
      </c>
      <c r="AA36">
        <v>0</v>
      </c>
      <c r="AB36">
        <v>0</v>
      </c>
      <c r="AC36">
        <v>0</v>
      </c>
      <c r="AD36">
        <v>0</v>
      </c>
      <c r="AE36">
        <v>0</v>
      </c>
      <c r="AF36">
        <v>0</v>
      </c>
      <c r="AG36">
        <v>0</v>
      </c>
      <c r="AH36">
        <v>0</v>
      </c>
      <c r="AI36" s="16">
        <v>0</v>
      </c>
      <c r="AJ36">
        <v>0</v>
      </c>
      <c r="AK36">
        <v>0</v>
      </c>
      <c r="AL36">
        <v>19.868276999999999</v>
      </c>
      <c r="AM36">
        <v>0</v>
      </c>
      <c r="AN36">
        <v>0</v>
      </c>
      <c r="AO36" s="15">
        <v>52.779403000000002</v>
      </c>
      <c r="AP36">
        <v>0</v>
      </c>
      <c r="AQ36">
        <v>0</v>
      </c>
      <c r="AR36">
        <v>0</v>
      </c>
    </row>
    <row r="37" spans="1:44" x14ac:dyDescent="0.3">
      <c r="A37">
        <v>36</v>
      </c>
      <c r="B37">
        <v>0</v>
      </c>
      <c r="C37">
        <v>0</v>
      </c>
      <c r="D37">
        <v>0</v>
      </c>
      <c r="E37">
        <v>0</v>
      </c>
      <c r="F37">
        <v>0</v>
      </c>
      <c r="G37">
        <v>0</v>
      </c>
      <c r="H37">
        <v>0</v>
      </c>
      <c r="I37">
        <v>0</v>
      </c>
      <c r="J37">
        <v>0</v>
      </c>
      <c r="K37">
        <v>0</v>
      </c>
      <c r="L37">
        <v>0</v>
      </c>
      <c r="M37">
        <v>0</v>
      </c>
      <c r="N37" s="16">
        <v>0</v>
      </c>
      <c r="O37">
        <v>0</v>
      </c>
      <c r="P37">
        <v>0</v>
      </c>
      <c r="Q37">
        <v>0</v>
      </c>
      <c r="R37">
        <v>0</v>
      </c>
      <c r="S37">
        <v>0</v>
      </c>
      <c r="T37">
        <v>0</v>
      </c>
      <c r="U37">
        <v>0</v>
      </c>
      <c r="V37">
        <v>0</v>
      </c>
      <c r="W37">
        <v>0</v>
      </c>
      <c r="X37" s="16">
        <v>0</v>
      </c>
      <c r="Y37">
        <v>0</v>
      </c>
      <c r="Z37">
        <v>0</v>
      </c>
      <c r="AA37">
        <v>0</v>
      </c>
      <c r="AB37">
        <v>0</v>
      </c>
      <c r="AC37">
        <v>0</v>
      </c>
      <c r="AD37">
        <v>0</v>
      </c>
      <c r="AE37">
        <v>0</v>
      </c>
      <c r="AF37">
        <v>0</v>
      </c>
      <c r="AG37">
        <v>0</v>
      </c>
      <c r="AH37">
        <v>0</v>
      </c>
      <c r="AI37" s="15">
        <v>54.876944000000002</v>
      </c>
      <c r="AJ37">
        <v>0</v>
      </c>
      <c r="AK37">
        <v>0</v>
      </c>
      <c r="AL37">
        <v>0</v>
      </c>
      <c r="AM37" s="15">
        <v>39.402929</v>
      </c>
      <c r="AN37">
        <v>0</v>
      </c>
      <c r="AO37">
        <v>0</v>
      </c>
      <c r="AP37">
        <v>0</v>
      </c>
      <c r="AQ37">
        <v>0</v>
      </c>
      <c r="AR37">
        <v>0</v>
      </c>
    </row>
    <row r="38" spans="1:44" x14ac:dyDescent="0.3">
      <c r="A38">
        <v>37</v>
      </c>
      <c r="B38">
        <v>0</v>
      </c>
      <c r="C38">
        <v>0</v>
      </c>
      <c r="D38">
        <v>0</v>
      </c>
      <c r="E38">
        <v>0</v>
      </c>
      <c r="F38">
        <v>0</v>
      </c>
      <c r="G38">
        <v>0</v>
      </c>
      <c r="H38">
        <v>0</v>
      </c>
      <c r="I38">
        <v>0</v>
      </c>
      <c r="J38">
        <v>0</v>
      </c>
      <c r="K38">
        <v>0</v>
      </c>
      <c r="L38">
        <v>0</v>
      </c>
      <c r="M38">
        <v>0</v>
      </c>
      <c r="N38" s="16">
        <v>0</v>
      </c>
      <c r="O38">
        <v>0</v>
      </c>
      <c r="P38">
        <v>0</v>
      </c>
      <c r="Q38">
        <v>0</v>
      </c>
      <c r="R38">
        <v>0</v>
      </c>
      <c r="S38">
        <v>0</v>
      </c>
      <c r="T38">
        <v>0</v>
      </c>
      <c r="U38">
        <v>0</v>
      </c>
      <c r="V38">
        <v>0</v>
      </c>
      <c r="W38">
        <v>0</v>
      </c>
      <c r="X38" s="16">
        <v>0</v>
      </c>
      <c r="Y38">
        <v>0</v>
      </c>
      <c r="Z38">
        <v>0</v>
      </c>
      <c r="AA38">
        <v>0</v>
      </c>
      <c r="AB38">
        <v>0</v>
      </c>
      <c r="AC38">
        <v>0</v>
      </c>
      <c r="AD38">
        <v>0</v>
      </c>
      <c r="AE38">
        <v>0</v>
      </c>
      <c r="AF38">
        <v>0</v>
      </c>
      <c r="AG38">
        <v>0</v>
      </c>
      <c r="AH38">
        <v>0</v>
      </c>
      <c r="AI38" s="16">
        <v>0</v>
      </c>
      <c r="AJ38" s="16">
        <v>0</v>
      </c>
      <c r="AK38">
        <v>0</v>
      </c>
      <c r="AL38">
        <v>0</v>
      </c>
      <c r="AM38" s="16">
        <v>0</v>
      </c>
      <c r="AN38">
        <v>0</v>
      </c>
      <c r="AO38">
        <v>0</v>
      </c>
      <c r="AP38">
        <v>0</v>
      </c>
      <c r="AQ38" s="15">
        <v>19.753039000000001</v>
      </c>
      <c r="AR38">
        <v>0</v>
      </c>
    </row>
    <row r="39" spans="1:44" x14ac:dyDescent="0.3">
      <c r="A39">
        <v>38</v>
      </c>
      <c r="B39">
        <v>0</v>
      </c>
      <c r="C39">
        <v>0</v>
      </c>
      <c r="D39">
        <v>0</v>
      </c>
      <c r="E39">
        <v>0</v>
      </c>
      <c r="F39">
        <v>0</v>
      </c>
      <c r="G39">
        <v>0</v>
      </c>
      <c r="H39">
        <v>0</v>
      </c>
      <c r="I39">
        <v>0</v>
      </c>
      <c r="J39">
        <v>0</v>
      </c>
      <c r="K39">
        <v>0</v>
      </c>
      <c r="L39">
        <v>0</v>
      </c>
      <c r="M39">
        <v>0</v>
      </c>
      <c r="N39" s="16">
        <v>0</v>
      </c>
      <c r="O39">
        <v>0</v>
      </c>
      <c r="P39">
        <v>0</v>
      </c>
      <c r="Q39">
        <v>0</v>
      </c>
      <c r="R39">
        <v>0</v>
      </c>
      <c r="S39">
        <v>0</v>
      </c>
      <c r="T39">
        <v>0</v>
      </c>
      <c r="U39">
        <v>0</v>
      </c>
      <c r="V39">
        <v>0</v>
      </c>
      <c r="W39">
        <v>0</v>
      </c>
      <c r="X39" s="16">
        <v>0</v>
      </c>
      <c r="Y39">
        <v>0</v>
      </c>
      <c r="Z39">
        <v>0</v>
      </c>
      <c r="AA39">
        <v>0</v>
      </c>
      <c r="AB39">
        <v>0</v>
      </c>
      <c r="AC39">
        <v>0</v>
      </c>
      <c r="AD39">
        <v>0</v>
      </c>
      <c r="AE39">
        <v>0</v>
      </c>
      <c r="AF39">
        <v>0</v>
      </c>
      <c r="AG39">
        <v>0</v>
      </c>
      <c r="AH39">
        <v>0</v>
      </c>
      <c r="AI39" s="16">
        <v>0</v>
      </c>
      <c r="AJ39" s="16">
        <v>0</v>
      </c>
      <c r="AK39">
        <v>0</v>
      </c>
      <c r="AL39">
        <v>0</v>
      </c>
      <c r="AM39" s="16">
        <v>0</v>
      </c>
      <c r="AN39">
        <v>0</v>
      </c>
      <c r="AO39">
        <v>0</v>
      </c>
      <c r="AP39">
        <v>0</v>
      </c>
      <c r="AQ39">
        <v>0</v>
      </c>
      <c r="AR39">
        <v>0</v>
      </c>
    </row>
    <row r="40" spans="1:44" x14ac:dyDescent="0.3">
      <c r="A40">
        <v>39</v>
      </c>
      <c r="B40">
        <v>0</v>
      </c>
      <c r="C40">
        <v>0</v>
      </c>
      <c r="D40">
        <v>0</v>
      </c>
      <c r="E40">
        <v>0</v>
      </c>
      <c r="F40">
        <v>0</v>
      </c>
      <c r="G40">
        <v>0</v>
      </c>
      <c r="H40">
        <v>0</v>
      </c>
      <c r="I40">
        <v>0</v>
      </c>
      <c r="J40">
        <v>0</v>
      </c>
      <c r="K40">
        <v>0</v>
      </c>
      <c r="L40">
        <v>0</v>
      </c>
      <c r="M40">
        <v>0</v>
      </c>
      <c r="N40" s="16">
        <v>0</v>
      </c>
      <c r="O40">
        <v>0</v>
      </c>
      <c r="P40">
        <v>0</v>
      </c>
      <c r="Q40">
        <v>0</v>
      </c>
      <c r="R40">
        <v>0</v>
      </c>
      <c r="S40">
        <v>0</v>
      </c>
      <c r="T40">
        <v>0</v>
      </c>
      <c r="U40">
        <v>0</v>
      </c>
      <c r="V40">
        <v>0</v>
      </c>
      <c r="W40">
        <v>0</v>
      </c>
      <c r="X40" s="16">
        <v>0</v>
      </c>
      <c r="Y40">
        <v>0</v>
      </c>
      <c r="Z40">
        <v>0</v>
      </c>
      <c r="AA40">
        <v>0</v>
      </c>
      <c r="AB40">
        <v>0</v>
      </c>
      <c r="AC40">
        <v>0</v>
      </c>
      <c r="AD40">
        <v>0</v>
      </c>
      <c r="AE40">
        <v>0</v>
      </c>
      <c r="AF40">
        <v>0</v>
      </c>
      <c r="AG40">
        <v>0</v>
      </c>
      <c r="AH40">
        <v>0</v>
      </c>
      <c r="AI40" s="16">
        <v>0</v>
      </c>
      <c r="AJ40" s="16">
        <v>0</v>
      </c>
      <c r="AK40" s="15">
        <v>63.138961000000002</v>
      </c>
      <c r="AL40">
        <v>0</v>
      </c>
      <c r="AM40" s="15">
        <v>100.81140000000001</v>
      </c>
      <c r="AN40">
        <v>0</v>
      </c>
      <c r="AO40">
        <v>0</v>
      </c>
      <c r="AP40">
        <v>0</v>
      </c>
      <c r="AQ40">
        <v>0</v>
      </c>
      <c r="AR40">
        <v>0</v>
      </c>
    </row>
    <row r="41" spans="1:44" x14ac:dyDescent="0.3">
      <c r="A41">
        <v>40</v>
      </c>
      <c r="B41">
        <v>0</v>
      </c>
      <c r="C41">
        <v>0</v>
      </c>
      <c r="D41">
        <v>0</v>
      </c>
      <c r="E41">
        <v>0</v>
      </c>
      <c r="F41">
        <v>0</v>
      </c>
      <c r="G41">
        <v>0</v>
      </c>
      <c r="H41">
        <v>0</v>
      </c>
      <c r="I41">
        <v>0</v>
      </c>
      <c r="J41">
        <v>0</v>
      </c>
      <c r="K41">
        <v>0</v>
      </c>
      <c r="L41">
        <v>0</v>
      </c>
      <c r="M41">
        <v>0</v>
      </c>
      <c r="N41" s="16">
        <v>0</v>
      </c>
      <c r="O41">
        <v>0</v>
      </c>
      <c r="P41">
        <v>0</v>
      </c>
      <c r="Q41">
        <v>0</v>
      </c>
      <c r="R41">
        <v>0</v>
      </c>
      <c r="S41">
        <v>0</v>
      </c>
      <c r="T41">
        <v>0</v>
      </c>
      <c r="U41">
        <v>0</v>
      </c>
      <c r="V41">
        <v>0</v>
      </c>
      <c r="W41">
        <v>0</v>
      </c>
      <c r="X41" s="16">
        <v>0</v>
      </c>
      <c r="Y41">
        <v>0</v>
      </c>
      <c r="Z41">
        <v>0</v>
      </c>
      <c r="AA41">
        <v>0</v>
      </c>
      <c r="AB41">
        <v>0</v>
      </c>
      <c r="AC41">
        <v>0</v>
      </c>
      <c r="AD41">
        <v>0</v>
      </c>
      <c r="AE41">
        <v>0</v>
      </c>
      <c r="AF41">
        <v>0</v>
      </c>
      <c r="AG41">
        <v>0</v>
      </c>
      <c r="AH41">
        <v>0</v>
      </c>
      <c r="AI41" s="16">
        <v>0</v>
      </c>
      <c r="AJ41" s="16">
        <v>0</v>
      </c>
      <c r="AK41">
        <v>0</v>
      </c>
      <c r="AL41" s="15">
        <v>59.298783</v>
      </c>
      <c r="AM41">
        <v>0</v>
      </c>
      <c r="AN41">
        <v>0</v>
      </c>
      <c r="AO41">
        <v>0</v>
      </c>
      <c r="AP41">
        <v>0</v>
      </c>
      <c r="AQ41">
        <v>0</v>
      </c>
      <c r="AR41">
        <v>0</v>
      </c>
    </row>
    <row r="42" spans="1:44" x14ac:dyDescent="0.3">
      <c r="A42">
        <v>41</v>
      </c>
      <c r="B42">
        <v>0</v>
      </c>
      <c r="C42">
        <v>0</v>
      </c>
      <c r="D42">
        <v>0</v>
      </c>
      <c r="E42">
        <v>0</v>
      </c>
      <c r="F42">
        <v>0</v>
      </c>
      <c r="G42">
        <v>0</v>
      </c>
      <c r="H42">
        <v>0</v>
      </c>
      <c r="I42">
        <v>0</v>
      </c>
      <c r="J42">
        <v>0</v>
      </c>
      <c r="K42">
        <v>0</v>
      </c>
      <c r="L42">
        <v>0</v>
      </c>
      <c r="M42">
        <v>0</v>
      </c>
      <c r="N42" s="16">
        <v>0</v>
      </c>
      <c r="O42">
        <v>0</v>
      </c>
      <c r="P42">
        <v>0</v>
      </c>
      <c r="Q42">
        <v>0</v>
      </c>
      <c r="R42">
        <v>0</v>
      </c>
      <c r="S42">
        <v>0</v>
      </c>
      <c r="T42">
        <v>0</v>
      </c>
      <c r="U42">
        <v>0</v>
      </c>
      <c r="V42">
        <v>0</v>
      </c>
      <c r="W42">
        <v>0</v>
      </c>
      <c r="X42" s="16">
        <v>0</v>
      </c>
      <c r="Y42">
        <v>0</v>
      </c>
      <c r="Z42">
        <v>0</v>
      </c>
      <c r="AA42">
        <v>0</v>
      </c>
      <c r="AB42">
        <v>0</v>
      </c>
      <c r="AC42">
        <v>0</v>
      </c>
      <c r="AD42">
        <v>0</v>
      </c>
      <c r="AE42">
        <v>0</v>
      </c>
      <c r="AF42">
        <v>0</v>
      </c>
      <c r="AG42">
        <v>0</v>
      </c>
      <c r="AH42">
        <v>0</v>
      </c>
      <c r="AI42" s="16">
        <v>0</v>
      </c>
      <c r="AJ42" s="16">
        <v>0</v>
      </c>
      <c r="AK42" s="15">
        <v>136.52157299999999</v>
      </c>
      <c r="AL42">
        <v>0</v>
      </c>
      <c r="AM42" s="15">
        <v>143.33401499999999</v>
      </c>
      <c r="AN42">
        <v>0</v>
      </c>
      <c r="AO42">
        <v>0</v>
      </c>
      <c r="AP42">
        <v>0</v>
      </c>
      <c r="AQ42">
        <v>0</v>
      </c>
      <c r="AR42">
        <v>0</v>
      </c>
    </row>
    <row r="43" spans="1:44" x14ac:dyDescent="0.3">
      <c r="A43">
        <v>42</v>
      </c>
      <c r="B43">
        <v>0</v>
      </c>
      <c r="C43">
        <v>0</v>
      </c>
      <c r="D43">
        <v>0</v>
      </c>
      <c r="E43">
        <v>0</v>
      </c>
      <c r="F43">
        <v>0</v>
      </c>
      <c r="G43">
        <v>0</v>
      </c>
      <c r="H43">
        <v>0</v>
      </c>
      <c r="I43">
        <v>0</v>
      </c>
      <c r="J43">
        <v>0</v>
      </c>
      <c r="K43">
        <v>0</v>
      </c>
      <c r="L43">
        <v>0</v>
      </c>
      <c r="M43">
        <v>0</v>
      </c>
      <c r="N43" s="16">
        <v>0</v>
      </c>
      <c r="O43">
        <v>0</v>
      </c>
      <c r="P43">
        <v>0</v>
      </c>
      <c r="Q43">
        <v>0</v>
      </c>
      <c r="R43">
        <v>0</v>
      </c>
      <c r="S43">
        <v>0</v>
      </c>
      <c r="T43">
        <v>0</v>
      </c>
      <c r="U43">
        <v>0</v>
      </c>
      <c r="V43">
        <v>0</v>
      </c>
      <c r="W43">
        <v>0</v>
      </c>
      <c r="X43" s="16">
        <v>0</v>
      </c>
      <c r="Y43">
        <v>0</v>
      </c>
      <c r="Z43">
        <v>0</v>
      </c>
      <c r="AA43">
        <v>0</v>
      </c>
      <c r="AB43">
        <v>0</v>
      </c>
      <c r="AC43">
        <v>0</v>
      </c>
      <c r="AD43">
        <v>0</v>
      </c>
      <c r="AE43">
        <v>0</v>
      </c>
      <c r="AF43">
        <v>0</v>
      </c>
      <c r="AG43">
        <v>0</v>
      </c>
      <c r="AH43">
        <v>0</v>
      </c>
      <c r="AI43" s="16">
        <v>0</v>
      </c>
      <c r="AJ43" s="16">
        <v>0</v>
      </c>
      <c r="AK43">
        <v>0</v>
      </c>
      <c r="AL43">
        <v>0</v>
      </c>
      <c r="AM43">
        <v>0</v>
      </c>
      <c r="AN43">
        <v>0</v>
      </c>
      <c r="AO43">
        <v>0</v>
      </c>
      <c r="AP43">
        <v>0</v>
      </c>
      <c r="AQ43">
        <v>0</v>
      </c>
      <c r="AR43">
        <v>0</v>
      </c>
    </row>
    <row r="44" spans="1:44" x14ac:dyDescent="0.3">
      <c r="A44">
        <v>43</v>
      </c>
      <c r="B44">
        <v>0</v>
      </c>
      <c r="C44">
        <v>0</v>
      </c>
      <c r="D44">
        <v>0</v>
      </c>
      <c r="E44">
        <v>0</v>
      </c>
      <c r="F44">
        <v>0</v>
      </c>
      <c r="G44">
        <v>0</v>
      </c>
      <c r="H44">
        <v>0</v>
      </c>
      <c r="I44">
        <v>0</v>
      </c>
      <c r="J44">
        <v>0</v>
      </c>
      <c r="K44">
        <v>0</v>
      </c>
      <c r="L44">
        <v>0</v>
      </c>
      <c r="M44">
        <v>0</v>
      </c>
      <c r="N44" s="16">
        <v>0</v>
      </c>
      <c r="O44">
        <v>0</v>
      </c>
      <c r="P44">
        <v>0</v>
      </c>
      <c r="Q44">
        <v>0</v>
      </c>
      <c r="R44">
        <v>0</v>
      </c>
      <c r="S44">
        <v>0</v>
      </c>
      <c r="T44">
        <v>0</v>
      </c>
      <c r="U44">
        <v>0</v>
      </c>
      <c r="V44">
        <v>0</v>
      </c>
      <c r="W44">
        <v>0</v>
      </c>
      <c r="X44" s="16">
        <v>0</v>
      </c>
      <c r="Y44">
        <v>0</v>
      </c>
      <c r="Z44">
        <v>0</v>
      </c>
      <c r="AA44">
        <v>0</v>
      </c>
      <c r="AB44">
        <v>0</v>
      </c>
      <c r="AC44">
        <v>0</v>
      </c>
      <c r="AD44">
        <v>0</v>
      </c>
      <c r="AE44">
        <v>0</v>
      </c>
      <c r="AF44">
        <v>0</v>
      </c>
      <c r="AG44">
        <v>0</v>
      </c>
      <c r="AH44">
        <v>0</v>
      </c>
      <c r="AI44" s="16">
        <v>0</v>
      </c>
      <c r="AJ44" s="16">
        <v>0</v>
      </c>
      <c r="AK44" s="16">
        <v>0</v>
      </c>
      <c r="AL44">
        <v>0</v>
      </c>
      <c r="AM44">
        <v>0</v>
      </c>
      <c r="AN44">
        <v>0</v>
      </c>
      <c r="AO44">
        <v>0</v>
      </c>
      <c r="AP44">
        <v>0</v>
      </c>
      <c r="AQ44">
        <v>0</v>
      </c>
      <c r="AR44">
        <v>0</v>
      </c>
    </row>
  </sheetData>
  <conditionalFormatting sqref="B2:AR44">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F505-7D3A-9C44-B8B7-B1A985C50979}">
  <dimension ref="A1:AR44"/>
  <sheetViews>
    <sheetView workbookViewId="0">
      <pane xSplit="1" ySplit="1" topLeftCell="B2" activePane="bottomRight" state="frozen"/>
      <selection pane="topRight" activeCell="B1" sqref="B1"/>
      <selection pane="bottomLeft" activeCell="A2" sqref="A2"/>
      <selection pane="bottomRight" activeCell="AT33" sqref="AT33"/>
    </sheetView>
  </sheetViews>
  <sheetFormatPr defaultColWidth="11.19921875" defaultRowHeight="15.6" x14ac:dyDescent="0.3"/>
  <sheetData>
    <row r="1" spans="1:44" x14ac:dyDescent="0.3">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row>
    <row r="2" spans="1:44" x14ac:dyDescent="0.3">
      <c r="A2">
        <v>1</v>
      </c>
      <c r="B2">
        <v>0</v>
      </c>
      <c r="C2">
        <v>0</v>
      </c>
      <c r="D2" s="15">
        <v>57.774191000000002</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row>
    <row r="3" spans="1:44" x14ac:dyDescent="0.3">
      <c r="A3">
        <v>2</v>
      </c>
      <c r="B3">
        <v>0</v>
      </c>
      <c r="C3">
        <v>0</v>
      </c>
      <c r="D3">
        <v>0</v>
      </c>
      <c r="E3">
        <v>0</v>
      </c>
      <c r="F3">
        <v>0</v>
      </c>
      <c r="G3">
        <v>0</v>
      </c>
      <c r="H3">
        <v>0</v>
      </c>
      <c r="I3">
        <v>0</v>
      </c>
      <c r="J3">
        <v>0</v>
      </c>
      <c r="K3" s="15">
        <v>118.56579499999999</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row>
    <row r="4" spans="1:44" x14ac:dyDescent="0.3">
      <c r="A4">
        <v>3</v>
      </c>
      <c r="B4">
        <v>0</v>
      </c>
      <c r="C4">
        <v>0</v>
      </c>
      <c r="D4">
        <v>0</v>
      </c>
      <c r="E4">
        <v>0</v>
      </c>
      <c r="F4">
        <v>0</v>
      </c>
      <c r="G4">
        <v>0</v>
      </c>
      <c r="H4" s="15">
        <v>47.577865000000003</v>
      </c>
      <c r="I4" s="15">
        <v>39.603752</v>
      </c>
      <c r="J4" s="15">
        <v>48.538246000000001</v>
      </c>
      <c r="K4" s="16">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row>
    <row r="5" spans="1:44" x14ac:dyDescent="0.3">
      <c r="A5">
        <v>4</v>
      </c>
      <c r="B5">
        <v>0</v>
      </c>
      <c r="C5">
        <v>0</v>
      </c>
      <c r="D5">
        <v>0</v>
      </c>
      <c r="E5">
        <v>0</v>
      </c>
      <c r="F5" s="15">
        <v>11.717726000000001</v>
      </c>
      <c r="G5">
        <v>0</v>
      </c>
      <c r="H5">
        <v>0</v>
      </c>
      <c r="I5">
        <v>0</v>
      </c>
      <c r="J5">
        <v>0</v>
      </c>
      <c r="K5" s="16">
        <v>0</v>
      </c>
      <c r="L5" s="15">
        <v>34.561812000000003</v>
      </c>
      <c r="M5" s="15">
        <v>50.719068999999998</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row>
    <row r="6" spans="1:44" x14ac:dyDescent="0.3">
      <c r="A6">
        <v>5</v>
      </c>
      <c r="B6">
        <v>0</v>
      </c>
      <c r="C6">
        <v>0</v>
      </c>
      <c r="D6">
        <v>0</v>
      </c>
      <c r="E6">
        <v>0</v>
      </c>
      <c r="F6">
        <v>0</v>
      </c>
      <c r="G6" s="15">
        <v>26.800018000000001</v>
      </c>
      <c r="H6">
        <v>0</v>
      </c>
      <c r="I6">
        <v>0</v>
      </c>
      <c r="J6">
        <v>0</v>
      </c>
      <c r="K6" s="16">
        <v>0</v>
      </c>
      <c r="L6" s="15">
        <v>29.759440999999999</v>
      </c>
      <c r="M6" s="15">
        <v>42.850498999999999</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row>
    <row r="7" spans="1:44" x14ac:dyDescent="0.3">
      <c r="A7">
        <v>6</v>
      </c>
      <c r="B7">
        <v>0</v>
      </c>
      <c r="C7">
        <v>0</v>
      </c>
      <c r="D7">
        <v>0</v>
      </c>
      <c r="E7">
        <v>0</v>
      </c>
      <c r="F7">
        <v>0</v>
      </c>
      <c r="G7">
        <v>0</v>
      </c>
      <c r="H7" s="15">
        <v>14.584213</v>
      </c>
      <c r="I7">
        <v>0</v>
      </c>
      <c r="J7">
        <v>0</v>
      </c>
      <c r="K7" s="16">
        <v>0</v>
      </c>
      <c r="L7" s="16">
        <v>0</v>
      </c>
      <c r="M7" s="15">
        <v>27.367366000000001</v>
      </c>
      <c r="N7" s="15">
        <v>20.277785999999999</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row>
    <row r="8" spans="1:44" x14ac:dyDescent="0.3">
      <c r="A8">
        <v>7</v>
      </c>
      <c r="B8">
        <v>0</v>
      </c>
      <c r="C8">
        <v>0</v>
      </c>
      <c r="D8">
        <v>0</v>
      </c>
      <c r="E8">
        <v>0</v>
      </c>
      <c r="F8">
        <v>0</v>
      </c>
      <c r="G8" s="15">
        <v>14.584213</v>
      </c>
      <c r="H8">
        <v>0</v>
      </c>
      <c r="I8" s="15">
        <v>17.271477999999998</v>
      </c>
      <c r="J8">
        <v>0</v>
      </c>
      <c r="K8" s="16">
        <v>0</v>
      </c>
      <c r="L8" s="16">
        <v>0</v>
      </c>
      <c r="M8" s="16">
        <v>0</v>
      </c>
      <c r="N8" s="15">
        <v>23.807739000000002</v>
      </c>
      <c r="O8">
        <v>0</v>
      </c>
      <c r="P8" s="15">
        <v>39.75667</v>
      </c>
      <c r="Q8" s="15">
        <v>53.690615999999999</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row>
    <row r="9" spans="1:44" x14ac:dyDescent="0.3">
      <c r="A9">
        <v>8</v>
      </c>
      <c r="B9">
        <v>0</v>
      </c>
      <c r="C9">
        <v>0</v>
      </c>
      <c r="D9">
        <v>0</v>
      </c>
      <c r="E9">
        <v>0</v>
      </c>
      <c r="F9">
        <v>0</v>
      </c>
      <c r="G9">
        <v>0</v>
      </c>
      <c r="H9" s="15">
        <v>17.271477999999998</v>
      </c>
      <c r="I9">
        <v>0</v>
      </c>
      <c r="J9" s="15">
        <v>22.412493999999999</v>
      </c>
      <c r="K9" s="16">
        <v>0</v>
      </c>
      <c r="L9" s="16">
        <v>0</v>
      </c>
      <c r="M9" s="16">
        <v>0</v>
      </c>
      <c r="N9" s="15">
        <v>32.475544999999997</v>
      </c>
      <c r="O9">
        <v>0</v>
      </c>
      <c r="P9" s="15">
        <v>40.624322999999997</v>
      </c>
      <c r="Q9" s="15">
        <v>46.032088999999999</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row>
    <row r="10" spans="1:44" x14ac:dyDescent="0.3">
      <c r="A10">
        <v>9</v>
      </c>
      <c r="B10">
        <v>0</v>
      </c>
      <c r="C10">
        <v>0</v>
      </c>
      <c r="D10">
        <v>0</v>
      </c>
      <c r="E10">
        <v>0</v>
      </c>
      <c r="F10">
        <v>0</v>
      </c>
      <c r="G10">
        <v>0</v>
      </c>
      <c r="H10">
        <v>0</v>
      </c>
      <c r="I10" s="15">
        <v>22.412493999999999</v>
      </c>
      <c r="J10">
        <v>0</v>
      </c>
      <c r="K10" s="15">
        <v>58.165619999999997</v>
      </c>
      <c r="L10" s="16">
        <v>0</v>
      </c>
      <c r="M10" s="16">
        <v>0</v>
      </c>
      <c r="N10" s="16">
        <v>0</v>
      </c>
      <c r="O10" s="16">
        <v>0</v>
      </c>
      <c r="P10" s="15">
        <v>45.557456999999999</v>
      </c>
      <c r="Q10" s="15">
        <v>38.838048999999998</v>
      </c>
      <c r="R10">
        <v>0</v>
      </c>
      <c r="S10">
        <v>0</v>
      </c>
      <c r="T10">
        <v>0</v>
      </c>
      <c r="U10" s="15">
        <v>66.700500000000005</v>
      </c>
      <c r="V10" s="15">
        <v>80.751748000000006</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row>
    <row r="11" spans="1:44" x14ac:dyDescent="0.3">
      <c r="A11">
        <v>10</v>
      </c>
      <c r="B11">
        <v>0</v>
      </c>
      <c r="C11">
        <v>0</v>
      </c>
      <c r="D11">
        <v>0</v>
      </c>
      <c r="E11">
        <v>0</v>
      </c>
      <c r="F11">
        <v>0</v>
      </c>
      <c r="G11">
        <v>0</v>
      </c>
      <c r="H11">
        <v>0</v>
      </c>
      <c r="I11">
        <v>0</v>
      </c>
      <c r="J11" s="15">
        <v>58.165619999999997</v>
      </c>
      <c r="K11" s="16">
        <v>0</v>
      </c>
      <c r="L11" s="16">
        <v>0</v>
      </c>
      <c r="M11" s="16">
        <v>0</v>
      </c>
      <c r="N11" s="16">
        <v>0</v>
      </c>
      <c r="O11" s="16">
        <v>0</v>
      </c>
      <c r="P11" s="16">
        <v>0</v>
      </c>
      <c r="Q11" s="16">
        <v>0</v>
      </c>
      <c r="R11">
        <v>0</v>
      </c>
      <c r="S11">
        <v>0</v>
      </c>
      <c r="T11">
        <v>0</v>
      </c>
      <c r="U11">
        <v>0</v>
      </c>
      <c r="V11" s="15">
        <v>72.514069000000006</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row>
    <row r="12" spans="1:44" x14ac:dyDescent="0.3">
      <c r="A12">
        <v>11</v>
      </c>
      <c r="B12">
        <v>0</v>
      </c>
      <c r="C12">
        <v>0</v>
      </c>
      <c r="D12">
        <v>0</v>
      </c>
      <c r="E12">
        <v>0</v>
      </c>
      <c r="F12">
        <v>0</v>
      </c>
      <c r="G12">
        <v>0</v>
      </c>
      <c r="H12">
        <v>0</v>
      </c>
      <c r="I12">
        <v>0</v>
      </c>
      <c r="J12">
        <v>0</v>
      </c>
      <c r="K12">
        <v>0</v>
      </c>
      <c r="L12">
        <v>0</v>
      </c>
      <c r="M12" s="15">
        <v>20.510708999999999</v>
      </c>
      <c r="N12" s="16">
        <v>0</v>
      </c>
      <c r="O12" s="16">
        <v>0</v>
      </c>
      <c r="P12" s="16">
        <v>0</v>
      </c>
      <c r="Q12" s="16">
        <v>0</v>
      </c>
      <c r="R12" s="15">
        <v>23.569412</v>
      </c>
      <c r="S12" s="15">
        <v>32.153632999999999</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row>
    <row r="13" spans="1:44" x14ac:dyDescent="0.3">
      <c r="A13">
        <v>12</v>
      </c>
      <c r="B13">
        <v>0</v>
      </c>
      <c r="C13">
        <v>0</v>
      </c>
      <c r="D13">
        <v>0</v>
      </c>
      <c r="E13">
        <v>0</v>
      </c>
      <c r="F13">
        <v>0</v>
      </c>
      <c r="G13" s="15">
        <v>27.367366000000001</v>
      </c>
      <c r="H13">
        <v>0</v>
      </c>
      <c r="I13">
        <v>0</v>
      </c>
      <c r="J13">
        <v>0</v>
      </c>
      <c r="K13">
        <v>0</v>
      </c>
      <c r="L13">
        <v>0</v>
      </c>
      <c r="M13">
        <v>0</v>
      </c>
      <c r="N13" s="16">
        <v>0</v>
      </c>
      <c r="O13" s="15">
        <v>9.7495150000000006</v>
      </c>
      <c r="Q13" s="16">
        <v>0</v>
      </c>
      <c r="R13" s="16">
        <v>0</v>
      </c>
      <c r="S13" s="15">
        <v>23.045603</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row>
    <row r="14" spans="1:44" x14ac:dyDescent="0.3">
      <c r="A14">
        <v>13</v>
      </c>
      <c r="B14">
        <v>0</v>
      </c>
      <c r="C14">
        <v>0</v>
      </c>
      <c r="D14">
        <v>0</v>
      </c>
      <c r="E14">
        <v>0</v>
      </c>
      <c r="F14">
        <v>0</v>
      </c>
      <c r="G14">
        <v>0</v>
      </c>
      <c r="H14" s="15">
        <v>23.807739000000002</v>
      </c>
      <c r="I14">
        <v>0</v>
      </c>
      <c r="J14">
        <v>0</v>
      </c>
      <c r="K14">
        <v>0</v>
      </c>
      <c r="L14">
        <v>0</v>
      </c>
      <c r="M14">
        <v>0</v>
      </c>
      <c r="N14" s="16">
        <v>0</v>
      </c>
      <c r="O14" s="15">
        <v>13.935468</v>
      </c>
      <c r="P14" s="15">
        <v>21.027121000000001</v>
      </c>
      <c r="Q14" s="16">
        <v>0</v>
      </c>
      <c r="R14" s="16">
        <v>0</v>
      </c>
      <c r="S14" s="16">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row>
    <row r="15" spans="1:44" x14ac:dyDescent="0.3">
      <c r="A15">
        <v>14</v>
      </c>
      <c r="B15">
        <v>0</v>
      </c>
      <c r="C15">
        <v>0</v>
      </c>
      <c r="D15">
        <v>0</v>
      </c>
      <c r="E15">
        <v>0</v>
      </c>
      <c r="F15">
        <v>0</v>
      </c>
      <c r="G15">
        <v>0</v>
      </c>
      <c r="H15">
        <v>0</v>
      </c>
      <c r="I15">
        <v>0</v>
      </c>
      <c r="J15">
        <v>0</v>
      </c>
      <c r="K15">
        <v>0</v>
      </c>
      <c r="L15">
        <v>0</v>
      </c>
      <c r="M15">
        <v>0</v>
      </c>
      <c r="N15" s="15">
        <v>13.935468</v>
      </c>
      <c r="O15" s="16">
        <v>0</v>
      </c>
      <c r="P15" s="15">
        <v>17.251833999999999</v>
      </c>
      <c r="Q15" s="16">
        <v>0</v>
      </c>
      <c r="R15" s="16">
        <v>0</v>
      </c>
      <c r="S15" s="16">
        <v>0</v>
      </c>
      <c r="T15" s="15">
        <v>30.363548000000002</v>
      </c>
      <c r="U15">
        <v>0</v>
      </c>
      <c r="V15">
        <v>0</v>
      </c>
      <c r="W15">
        <v>0</v>
      </c>
      <c r="X15" s="15">
        <v>73.934030000000007</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row>
    <row r="16" spans="1:44" x14ac:dyDescent="0.3">
      <c r="A16">
        <v>15</v>
      </c>
      <c r="B16">
        <v>0</v>
      </c>
      <c r="C16">
        <v>0</v>
      </c>
      <c r="D16">
        <v>0</v>
      </c>
      <c r="E16">
        <v>0</v>
      </c>
      <c r="F16">
        <v>0</v>
      </c>
      <c r="G16">
        <v>0</v>
      </c>
      <c r="H16">
        <v>0</v>
      </c>
      <c r="I16">
        <v>0</v>
      </c>
      <c r="J16">
        <v>0</v>
      </c>
      <c r="K16">
        <v>0</v>
      </c>
      <c r="L16">
        <v>0</v>
      </c>
      <c r="M16">
        <v>0</v>
      </c>
      <c r="N16">
        <v>0</v>
      </c>
      <c r="O16">
        <v>0</v>
      </c>
      <c r="P16">
        <v>0</v>
      </c>
      <c r="Q16" s="15">
        <v>24.730642</v>
      </c>
      <c r="S16">
        <v>0</v>
      </c>
      <c r="T16">
        <v>0</v>
      </c>
      <c r="U16" s="15">
        <v>50.921653999999997</v>
      </c>
      <c r="V16">
        <v>0</v>
      </c>
      <c r="W16">
        <v>0</v>
      </c>
      <c r="X16" s="15">
        <v>72.699831000000003</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row>
    <row r="17" spans="1:44" x14ac:dyDescent="0.3">
      <c r="A17">
        <v>16</v>
      </c>
      <c r="B17">
        <v>0</v>
      </c>
      <c r="C17">
        <v>0</v>
      </c>
      <c r="D17">
        <v>0</v>
      </c>
      <c r="E17">
        <v>0</v>
      </c>
      <c r="F17">
        <v>0</v>
      </c>
      <c r="G17">
        <v>0</v>
      </c>
      <c r="H17">
        <v>0</v>
      </c>
      <c r="I17">
        <v>0</v>
      </c>
      <c r="J17">
        <v>0</v>
      </c>
      <c r="K17">
        <v>0</v>
      </c>
      <c r="L17">
        <v>0</v>
      </c>
      <c r="M17">
        <v>0</v>
      </c>
      <c r="N17">
        <v>0</v>
      </c>
      <c r="O17">
        <v>0</v>
      </c>
      <c r="P17">
        <v>0</v>
      </c>
      <c r="Q17">
        <v>0</v>
      </c>
      <c r="R17">
        <v>0</v>
      </c>
      <c r="S17">
        <v>0</v>
      </c>
      <c r="T17">
        <v>0</v>
      </c>
      <c r="U17" s="15">
        <v>31.496426</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row>
    <row r="18" spans="1:44" x14ac:dyDescent="0.3">
      <c r="A18">
        <v>17</v>
      </c>
      <c r="B18">
        <v>0</v>
      </c>
      <c r="C18">
        <v>0</v>
      </c>
      <c r="D18">
        <v>0</v>
      </c>
      <c r="E18">
        <v>0</v>
      </c>
      <c r="F18">
        <v>0</v>
      </c>
      <c r="G18">
        <v>0</v>
      </c>
      <c r="H18">
        <v>0</v>
      </c>
      <c r="I18">
        <v>0</v>
      </c>
      <c r="J18">
        <v>0</v>
      </c>
      <c r="K18">
        <v>0</v>
      </c>
      <c r="L18">
        <v>0</v>
      </c>
      <c r="M18">
        <v>0</v>
      </c>
      <c r="N18">
        <v>0</v>
      </c>
      <c r="O18">
        <v>0</v>
      </c>
      <c r="P18">
        <v>0</v>
      </c>
      <c r="Q18">
        <v>0</v>
      </c>
      <c r="R18">
        <v>0</v>
      </c>
      <c r="S18" s="17">
        <v>19.175346999999999</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row>
    <row r="19" spans="1:44" x14ac:dyDescent="0.3">
      <c r="A19">
        <v>18</v>
      </c>
      <c r="B19">
        <v>0</v>
      </c>
      <c r="C19">
        <v>0</v>
      </c>
      <c r="D19">
        <v>0</v>
      </c>
      <c r="E19">
        <v>0</v>
      </c>
      <c r="F19">
        <v>0</v>
      </c>
      <c r="G19">
        <v>0</v>
      </c>
      <c r="H19">
        <v>0</v>
      </c>
      <c r="I19">
        <v>0</v>
      </c>
      <c r="J19">
        <v>0</v>
      </c>
      <c r="K19">
        <v>0</v>
      </c>
      <c r="L19">
        <v>0</v>
      </c>
      <c r="M19" s="15">
        <v>23.045603</v>
      </c>
      <c r="N19">
        <v>0</v>
      </c>
      <c r="O19" s="15">
        <v>24.130502</v>
      </c>
      <c r="P19">
        <v>0</v>
      </c>
      <c r="Q19">
        <v>0</v>
      </c>
      <c r="R19">
        <v>0</v>
      </c>
      <c r="S19">
        <v>0</v>
      </c>
      <c r="T19" s="15">
        <v>11.641126999999999</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row>
    <row r="20" spans="1:44" x14ac:dyDescent="0.3">
      <c r="A20">
        <v>19</v>
      </c>
      <c r="B20">
        <v>0</v>
      </c>
      <c r="C20">
        <v>0</v>
      </c>
      <c r="D20">
        <v>0</v>
      </c>
      <c r="E20">
        <v>0</v>
      </c>
      <c r="F20">
        <v>0</v>
      </c>
      <c r="G20">
        <v>0</v>
      </c>
      <c r="H20">
        <v>0</v>
      </c>
      <c r="I20">
        <v>0</v>
      </c>
      <c r="J20">
        <v>0</v>
      </c>
      <c r="K20">
        <v>0</v>
      </c>
      <c r="L20">
        <v>0</v>
      </c>
      <c r="M20">
        <v>0</v>
      </c>
      <c r="N20">
        <v>0</v>
      </c>
      <c r="O20" s="15">
        <v>30.363548000000002</v>
      </c>
      <c r="P20">
        <v>0</v>
      </c>
      <c r="Q20">
        <v>0</v>
      </c>
      <c r="R20">
        <v>0</v>
      </c>
      <c r="S20" s="15">
        <v>11.641126999999999</v>
      </c>
      <c r="T20">
        <v>0</v>
      </c>
      <c r="U20" s="15">
        <v>64.418109999999999</v>
      </c>
      <c r="V20">
        <v>0</v>
      </c>
      <c r="W20" s="15">
        <v>35.372492999999999</v>
      </c>
      <c r="X20" s="15">
        <v>48.352552000000003</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row>
    <row r="21" spans="1:44" x14ac:dyDescent="0.3">
      <c r="A21">
        <v>20</v>
      </c>
      <c r="B21">
        <v>0</v>
      </c>
      <c r="C21">
        <v>0</v>
      </c>
      <c r="D21">
        <v>0</v>
      </c>
      <c r="E21">
        <v>0</v>
      </c>
      <c r="F21">
        <v>0</v>
      </c>
      <c r="G21">
        <v>0</v>
      </c>
      <c r="H21">
        <v>0</v>
      </c>
      <c r="I21">
        <v>0</v>
      </c>
      <c r="J21">
        <v>0</v>
      </c>
      <c r="K21">
        <v>0</v>
      </c>
      <c r="L21">
        <v>0</v>
      </c>
      <c r="M21">
        <v>0</v>
      </c>
      <c r="N21">
        <v>0</v>
      </c>
      <c r="O21">
        <v>0</v>
      </c>
      <c r="P21">
        <v>0</v>
      </c>
      <c r="Q21">
        <v>0</v>
      </c>
      <c r="R21">
        <v>0</v>
      </c>
      <c r="S21">
        <v>0</v>
      </c>
      <c r="T21">
        <v>0</v>
      </c>
      <c r="U21" s="15">
        <v>0</v>
      </c>
      <c r="V21">
        <v>0</v>
      </c>
      <c r="W21">
        <v>0</v>
      </c>
      <c r="X21" s="15">
        <v>63.626381000000002</v>
      </c>
      <c r="Y21">
        <v>0</v>
      </c>
      <c r="Z21" s="15">
        <v>55.235610000000001</v>
      </c>
      <c r="AA21" s="15">
        <v>111.704363</v>
      </c>
      <c r="AB21">
        <v>0</v>
      </c>
      <c r="AC21">
        <v>0</v>
      </c>
      <c r="AD21" s="15">
        <v>145.82442800000001</v>
      </c>
      <c r="AE21">
        <v>0</v>
      </c>
      <c r="AF21">
        <v>0</v>
      </c>
      <c r="AG21" s="15">
        <v>154.78684799999999</v>
      </c>
      <c r="AH21">
        <v>0</v>
      </c>
      <c r="AI21">
        <v>0</v>
      </c>
      <c r="AJ21">
        <v>0</v>
      </c>
      <c r="AK21">
        <v>0</v>
      </c>
      <c r="AL21">
        <v>0</v>
      </c>
      <c r="AM21">
        <v>0</v>
      </c>
      <c r="AN21">
        <v>0</v>
      </c>
      <c r="AO21">
        <v>0</v>
      </c>
      <c r="AP21">
        <v>0</v>
      </c>
      <c r="AQ21">
        <v>0</v>
      </c>
      <c r="AR21">
        <v>0</v>
      </c>
    </row>
    <row r="22" spans="1:44" x14ac:dyDescent="0.3">
      <c r="A22">
        <v>21</v>
      </c>
      <c r="B22">
        <v>0</v>
      </c>
      <c r="C22">
        <v>0</v>
      </c>
      <c r="D22">
        <v>0</v>
      </c>
      <c r="E22">
        <v>0</v>
      </c>
      <c r="F22">
        <v>0</v>
      </c>
      <c r="G22">
        <v>0</v>
      </c>
      <c r="H22">
        <v>0</v>
      </c>
      <c r="I22">
        <v>0</v>
      </c>
      <c r="J22">
        <v>0</v>
      </c>
      <c r="K22">
        <v>0</v>
      </c>
      <c r="L22">
        <v>0</v>
      </c>
      <c r="M22">
        <v>0</v>
      </c>
      <c r="N22">
        <v>0</v>
      </c>
      <c r="O22">
        <v>0</v>
      </c>
      <c r="P22">
        <v>0</v>
      </c>
      <c r="Q22">
        <v>0</v>
      </c>
      <c r="R22">
        <v>0</v>
      </c>
      <c r="S22">
        <v>0</v>
      </c>
      <c r="T22">
        <v>0</v>
      </c>
      <c r="U22" s="15">
        <v>23.149283</v>
      </c>
      <c r="V22">
        <v>0</v>
      </c>
      <c r="W22">
        <v>0</v>
      </c>
      <c r="Y22">
        <v>0</v>
      </c>
      <c r="Z22" s="15">
        <v>42.621231999999999</v>
      </c>
      <c r="AA22">
        <v>0</v>
      </c>
      <c r="AB22">
        <v>0</v>
      </c>
      <c r="AC22">
        <v>0</v>
      </c>
      <c r="AD22">
        <v>0</v>
      </c>
      <c r="AE22">
        <v>0</v>
      </c>
      <c r="AF22">
        <v>0</v>
      </c>
      <c r="AG22">
        <v>0</v>
      </c>
      <c r="AH22">
        <v>0</v>
      </c>
      <c r="AI22">
        <v>0</v>
      </c>
      <c r="AJ22">
        <v>0</v>
      </c>
      <c r="AK22">
        <v>0</v>
      </c>
      <c r="AL22">
        <v>0</v>
      </c>
      <c r="AM22">
        <v>0</v>
      </c>
      <c r="AN22">
        <v>0</v>
      </c>
      <c r="AO22">
        <v>0</v>
      </c>
      <c r="AP22">
        <v>0</v>
      </c>
      <c r="AQ22">
        <v>0</v>
      </c>
      <c r="AR22">
        <v>0</v>
      </c>
    </row>
    <row r="23" spans="1:44" x14ac:dyDescent="0.3">
      <c r="A23">
        <v>22</v>
      </c>
      <c r="B23">
        <v>0</v>
      </c>
      <c r="C23">
        <v>0</v>
      </c>
      <c r="D23">
        <v>0</v>
      </c>
      <c r="E23">
        <v>0</v>
      </c>
      <c r="F23">
        <v>0</v>
      </c>
      <c r="G23">
        <v>0</v>
      </c>
      <c r="H23">
        <v>0</v>
      </c>
      <c r="I23">
        <v>0</v>
      </c>
      <c r="J23">
        <v>0</v>
      </c>
      <c r="K23">
        <v>0</v>
      </c>
      <c r="L23">
        <v>0</v>
      </c>
      <c r="M23">
        <v>0</v>
      </c>
      <c r="N23">
        <v>0</v>
      </c>
      <c r="O23">
        <v>0</v>
      </c>
      <c r="P23">
        <v>0</v>
      </c>
      <c r="Q23">
        <v>0</v>
      </c>
      <c r="R23">
        <v>0</v>
      </c>
      <c r="S23">
        <v>0</v>
      </c>
      <c r="T23" s="15">
        <v>35.372492999999999</v>
      </c>
      <c r="U23" s="15">
        <v>78.299369999999996</v>
      </c>
      <c r="V23">
        <v>0</v>
      </c>
      <c r="W23">
        <v>0</v>
      </c>
      <c r="X23" s="15">
        <v>26.087387</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row>
    <row r="24" spans="1:44" x14ac:dyDescent="0.3">
      <c r="A24">
        <v>23</v>
      </c>
      <c r="B24">
        <v>0</v>
      </c>
      <c r="C24">
        <v>0</v>
      </c>
      <c r="D24">
        <v>0</v>
      </c>
      <c r="E24">
        <v>0</v>
      </c>
      <c r="F24">
        <v>0</v>
      </c>
      <c r="G24">
        <v>0</v>
      </c>
      <c r="H24">
        <v>0</v>
      </c>
      <c r="I24">
        <v>0</v>
      </c>
      <c r="J24">
        <v>0</v>
      </c>
      <c r="K24">
        <v>0</v>
      </c>
      <c r="L24">
        <v>0</v>
      </c>
      <c r="M24">
        <v>0</v>
      </c>
      <c r="N24">
        <v>0</v>
      </c>
      <c r="O24">
        <v>0</v>
      </c>
      <c r="P24">
        <v>0</v>
      </c>
      <c r="Q24">
        <v>0</v>
      </c>
      <c r="R24">
        <v>0</v>
      </c>
      <c r="S24">
        <v>0</v>
      </c>
      <c r="T24">
        <v>0</v>
      </c>
      <c r="U24" s="15">
        <v>63.626381000000002</v>
      </c>
      <c r="V24">
        <v>0</v>
      </c>
      <c r="W24">
        <v>0</v>
      </c>
      <c r="Y24" s="15">
        <v>9.9293040000000001</v>
      </c>
      <c r="Z24">
        <v>0</v>
      </c>
      <c r="AA24">
        <v>0</v>
      </c>
      <c r="AB24">
        <v>0</v>
      </c>
      <c r="AC24">
        <v>0</v>
      </c>
      <c r="AD24">
        <v>0</v>
      </c>
      <c r="AE24">
        <v>0</v>
      </c>
      <c r="AF24">
        <v>0</v>
      </c>
      <c r="AG24">
        <v>0</v>
      </c>
      <c r="AH24">
        <v>0</v>
      </c>
      <c r="AI24">
        <v>0</v>
      </c>
      <c r="AJ24">
        <v>0</v>
      </c>
      <c r="AK24">
        <v>0</v>
      </c>
      <c r="AL24">
        <v>0</v>
      </c>
      <c r="AM24">
        <v>0</v>
      </c>
      <c r="AN24">
        <v>0</v>
      </c>
      <c r="AO24">
        <v>0</v>
      </c>
      <c r="AP24">
        <v>0</v>
      </c>
      <c r="AQ24">
        <v>0</v>
      </c>
      <c r="AR24">
        <v>0</v>
      </c>
    </row>
    <row r="25" spans="1:44" x14ac:dyDescent="0.3">
      <c r="A25">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s="15">
        <v>9.9293040000000001</v>
      </c>
      <c r="Y25">
        <v>0</v>
      </c>
      <c r="Z25" s="15">
        <v>73.396221999999995</v>
      </c>
      <c r="AA25" s="15">
        <v>56.827764999999999</v>
      </c>
      <c r="AB25" s="15">
        <v>105.338736</v>
      </c>
      <c r="AC25">
        <v>0</v>
      </c>
      <c r="AD25">
        <v>0</v>
      </c>
      <c r="AE25">
        <v>0</v>
      </c>
      <c r="AF25">
        <v>0</v>
      </c>
      <c r="AG25">
        <v>0</v>
      </c>
      <c r="AH25">
        <v>0</v>
      </c>
      <c r="AI25">
        <v>0</v>
      </c>
      <c r="AJ25">
        <v>0</v>
      </c>
      <c r="AK25">
        <v>0</v>
      </c>
      <c r="AL25">
        <v>0</v>
      </c>
      <c r="AM25">
        <v>0</v>
      </c>
      <c r="AN25">
        <v>0</v>
      </c>
      <c r="AO25">
        <v>0</v>
      </c>
      <c r="AP25">
        <v>0</v>
      </c>
      <c r="AQ25">
        <v>0</v>
      </c>
      <c r="AR25">
        <v>0</v>
      </c>
    </row>
    <row r="26" spans="1:44" x14ac:dyDescent="0.3">
      <c r="A26">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s="15">
        <v>73.396221999999995</v>
      </c>
      <c r="Z26" s="16">
        <v>0</v>
      </c>
      <c r="AA26" s="15">
        <v>81.523769000000001</v>
      </c>
      <c r="AB26" s="15">
        <v>50.038589000000002</v>
      </c>
      <c r="AC26">
        <v>0</v>
      </c>
      <c r="AD26" s="15">
        <v>94.780531999999994</v>
      </c>
      <c r="AG26" s="15">
        <v>108.34580800000001</v>
      </c>
      <c r="AH26">
        <v>0</v>
      </c>
      <c r="AI26">
        <v>0</v>
      </c>
      <c r="AJ26">
        <v>0</v>
      </c>
      <c r="AK26">
        <v>0</v>
      </c>
      <c r="AL26">
        <v>0</v>
      </c>
      <c r="AM26">
        <v>0</v>
      </c>
      <c r="AN26">
        <v>0</v>
      </c>
      <c r="AO26">
        <v>0</v>
      </c>
      <c r="AP26">
        <v>0</v>
      </c>
      <c r="AQ26">
        <v>0</v>
      </c>
      <c r="AR26">
        <v>0</v>
      </c>
    </row>
    <row r="27" spans="1:44" x14ac:dyDescent="0.3">
      <c r="A27">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s="16">
        <v>0</v>
      </c>
      <c r="AA27">
        <v>0</v>
      </c>
      <c r="AB27" s="15">
        <v>80.842549000000005</v>
      </c>
      <c r="AC27">
        <v>0</v>
      </c>
      <c r="AD27" s="15">
        <v>71.126254000000003</v>
      </c>
      <c r="AE27" s="15">
        <v>102.34892600000001</v>
      </c>
      <c r="AF27" s="15">
        <v>57.968862000000001</v>
      </c>
      <c r="AG27" s="15">
        <v>63.785589999999999</v>
      </c>
      <c r="AH27" s="16">
        <v>0</v>
      </c>
      <c r="AI27" s="15">
        <v>67.944332000000003</v>
      </c>
      <c r="AJ27">
        <v>0</v>
      </c>
      <c r="AK27">
        <v>0</v>
      </c>
      <c r="AL27">
        <v>0</v>
      </c>
      <c r="AM27">
        <v>0</v>
      </c>
      <c r="AN27">
        <v>0</v>
      </c>
      <c r="AO27">
        <v>0</v>
      </c>
      <c r="AP27">
        <v>0</v>
      </c>
      <c r="AQ27">
        <v>0</v>
      </c>
      <c r="AR27">
        <v>0</v>
      </c>
    </row>
    <row r="28" spans="1:44" x14ac:dyDescent="0.3">
      <c r="A28">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s="15">
        <v>80.842549000000005</v>
      </c>
      <c r="AB28" s="16">
        <v>0</v>
      </c>
      <c r="AC28">
        <v>0</v>
      </c>
      <c r="AD28" s="15">
        <v>53.024138999999998</v>
      </c>
      <c r="AE28" s="15">
        <v>42.350687000000001</v>
      </c>
      <c r="AF28" s="16">
        <v>0</v>
      </c>
      <c r="AG28" s="16">
        <v>0</v>
      </c>
      <c r="AH28">
        <v>0</v>
      </c>
      <c r="AI28">
        <v>0</v>
      </c>
      <c r="AJ28">
        <v>0</v>
      </c>
      <c r="AK28">
        <v>0</v>
      </c>
      <c r="AL28">
        <v>0</v>
      </c>
      <c r="AM28">
        <v>0</v>
      </c>
      <c r="AN28">
        <v>0</v>
      </c>
      <c r="AO28">
        <v>0</v>
      </c>
      <c r="AP28">
        <v>0</v>
      </c>
      <c r="AQ28">
        <v>0</v>
      </c>
      <c r="AR28">
        <v>0</v>
      </c>
    </row>
    <row r="29" spans="1:44" x14ac:dyDescent="0.3">
      <c r="A29">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s="15">
        <v>121.284335</v>
      </c>
      <c r="AB29" s="16">
        <v>0</v>
      </c>
      <c r="AC29">
        <v>0</v>
      </c>
      <c r="AD29">
        <v>0</v>
      </c>
      <c r="AE29">
        <v>0</v>
      </c>
      <c r="AF29" s="16">
        <v>0</v>
      </c>
      <c r="AG29" s="16">
        <v>0</v>
      </c>
      <c r="AH29" s="15">
        <v>82.077551999999997</v>
      </c>
      <c r="AI29" s="15">
        <v>126.988429</v>
      </c>
      <c r="AJ29">
        <v>0</v>
      </c>
      <c r="AK29">
        <v>0</v>
      </c>
      <c r="AL29">
        <v>0</v>
      </c>
      <c r="AM29">
        <v>0</v>
      </c>
      <c r="AN29">
        <v>0</v>
      </c>
      <c r="AO29">
        <v>0</v>
      </c>
      <c r="AP29">
        <v>0</v>
      </c>
      <c r="AQ29">
        <v>0</v>
      </c>
      <c r="AR29">
        <v>0</v>
      </c>
    </row>
    <row r="30" spans="1:44" x14ac:dyDescent="0.3">
      <c r="A30">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s="15">
        <v>39.066946999999999</v>
      </c>
      <c r="AF30" s="16">
        <v>0</v>
      </c>
      <c r="AG30" s="15">
        <v>22.821427</v>
      </c>
      <c r="AH30">
        <v>0</v>
      </c>
      <c r="AI30">
        <v>0</v>
      </c>
      <c r="AJ30" s="15">
        <v>83.349868000000001</v>
      </c>
      <c r="AK30">
        <v>0</v>
      </c>
      <c r="AL30" s="15">
        <v>71.878243999999995</v>
      </c>
      <c r="AM30">
        <v>0</v>
      </c>
      <c r="AN30">
        <v>0</v>
      </c>
      <c r="AO30">
        <v>0</v>
      </c>
      <c r="AP30">
        <v>0</v>
      </c>
      <c r="AQ30">
        <v>0</v>
      </c>
      <c r="AR30">
        <v>0</v>
      </c>
    </row>
    <row r="31" spans="1:44" x14ac:dyDescent="0.3">
      <c r="A31">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s="15">
        <v>39.066946999999999</v>
      </c>
      <c r="AE31" s="16">
        <v>0</v>
      </c>
      <c r="AF31" s="16">
        <v>0</v>
      </c>
      <c r="AG31" s="16">
        <v>0</v>
      </c>
      <c r="AH31">
        <v>0</v>
      </c>
      <c r="AI31" s="16">
        <v>0</v>
      </c>
      <c r="AJ31" s="15">
        <v>62.054896999999997</v>
      </c>
      <c r="AK31">
        <v>0</v>
      </c>
      <c r="AL31" s="15">
        <v>61.336039</v>
      </c>
      <c r="AM31">
        <v>0</v>
      </c>
      <c r="AN31">
        <v>0</v>
      </c>
      <c r="AO31">
        <v>0</v>
      </c>
      <c r="AP31">
        <v>0</v>
      </c>
      <c r="AQ31">
        <v>0</v>
      </c>
      <c r="AR31">
        <v>0</v>
      </c>
    </row>
    <row r="32" spans="1:44" x14ac:dyDescent="0.3">
      <c r="A32">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s="16">
        <v>0</v>
      </c>
      <c r="AE32" s="16">
        <v>0</v>
      </c>
      <c r="AF32" s="16">
        <v>0</v>
      </c>
      <c r="AG32" s="15">
        <v>23.029207</v>
      </c>
      <c r="AH32">
        <v>0</v>
      </c>
      <c r="AI32" s="15">
        <v>22.541181000000002</v>
      </c>
      <c r="AJ32">
        <v>0</v>
      </c>
      <c r="AK32">
        <v>0</v>
      </c>
      <c r="AL32" s="15">
        <v>100.660222</v>
      </c>
      <c r="AM32">
        <v>0</v>
      </c>
      <c r="AN32">
        <v>0</v>
      </c>
      <c r="AO32">
        <v>0</v>
      </c>
      <c r="AP32">
        <v>0</v>
      </c>
      <c r="AQ32">
        <v>0</v>
      </c>
      <c r="AR32">
        <v>0</v>
      </c>
    </row>
    <row r="33" spans="1:44" x14ac:dyDescent="0.3">
      <c r="A33">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s="15">
        <v>22.821427</v>
      </c>
      <c r="AE33" s="16">
        <v>0</v>
      </c>
      <c r="AF33" s="15">
        <v>23.029207</v>
      </c>
      <c r="AG33" s="16">
        <v>0</v>
      </c>
      <c r="AH33">
        <v>0</v>
      </c>
      <c r="AI33" s="16">
        <v>0</v>
      </c>
      <c r="AJ33">
        <v>0</v>
      </c>
      <c r="AK33">
        <v>0</v>
      </c>
      <c r="AL33" s="15">
        <v>80.894073000000006</v>
      </c>
      <c r="AM33">
        <v>0</v>
      </c>
      <c r="AN33">
        <v>0</v>
      </c>
      <c r="AO33">
        <v>0</v>
      </c>
      <c r="AP33">
        <v>0</v>
      </c>
      <c r="AQ33">
        <v>0</v>
      </c>
      <c r="AR33">
        <v>0</v>
      </c>
    </row>
    <row r="34" spans="1:44" x14ac:dyDescent="0.3">
      <c r="A34">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G34" s="16">
        <v>0</v>
      </c>
      <c r="AH34">
        <v>0</v>
      </c>
      <c r="AI34" s="15">
        <v>52.816473999999999</v>
      </c>
      <c r="AJ34">
        <v>0</v>
      </c>
      <c r="AK34" s="15">
        <v>25.414783</v>
      </c>
      <c r="AL34" s="16">
        <v>0</v>
      </c>
      <c r="AM34" s="15">
        <v>57.029761999999998</v>
      </c>
      <c r="AN34">
        <v>0</v>
      </c>
      <c r="AO34">
        <v>0</v>
      </c>
      <c r="AP34">
        <v>0</v>
      </c>
      <c r="AQ34">
        <v>0</v>
      </c>
      <c r="AR34">
        <v>0</v>
      </c>
    </row>
    <row r="35" spans="1:44" x14ac:dyDescent="0.3">
      <c r="A35">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s="15">
        <v>22.541181000000002</v>
      </c>
      <c r="AG35" s="16">
        <v>0</v>
      </c>
      <c r="AH35">
        <v>0</v>
      </c>
      <c r="AI35" s="16">
        <v>0</v>
      </c>
      <c r="AJ35">
        <v>0</v>
      </c>
      <c r="AK35">
        <v>0</v>
      </c>
      <c r="AL35" s="16">
        <v>0</v>
      </c>
      <c r="AM35" s="15">
        <v>28.750836</v>
      </c>
      <c r="AN35">
        <v>0</v>
      </c>
      <c r="AO35">
        <v>0</v>
      </c>
      <c r="AP35">
        <v>0</v>
      </c>
      <c r="AQ35">
        <v>0</v>
      </c>
      <c r="AR35">
        <v>0</v>
      </c>
    </row>
    <row r="36" spans="1:44" x14ac:dyDescent="0.3">
      <c r="A36">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s="16">
        <v>0</v>
      </c>
      <c r="AH36">
        <v>0</v>
      </c>
      <c r="AI36" s="16">
        <v>0</v>
      </c>
      <c r="AJ36">
        <v>0</v>
      </c>
      <c r="AK36">
        <v>0</v>
      </c>
      <c r="AL36" s="15">
        <v>21.151999</v>
      </c>
      <c r="AM36">
        <v>0</v>
      </c>
      <c r="AN36">
        <v>0</v>
      </c>
      <c r="AO36" s="15">
        <v>51.994861</v>
      </c>
      <c r="AP36">
        <v>0</v>
      </c>
      <c r="AQ36">
        <v>0</v>
      </c>
      <c r="AR36">
        <v>0</v>
      </c>
    </row>
    <row r="37" spans="1:44" x14ac:dyDescent="0.3">
      <c r="A37">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s="16">
        <v>0</v>
      </c>
      <c r="AH37" s="15">
        <v>25.414783</v>
      </c>
      <c r="AI37" s="15">
        <v>52.919868000000001</v>
      </c>
      <c r="AJ37">
        <v>0</v>
      </c>
      <c r="AK37">
        <v>0</v>
      </c>
      <c r="AL37">
        <v>0</v>
      </c>
      <c r="AM37" s="15">
        <v>40.640596000000002</v>
      </c>
      <c r="AN37">
        <v>0</v>
      </c>
      <c r="AO37">
        <v>0</v>
      </c>
      <c r="AP37">
        <v>0</v>
      </c>
      <c r="AQ37">
        <v>0</v>
      </c>
      <c r="AR37">
        <v>0</v>
      </c>
    </row>
    <row r="38" spans="1:44" x14ac:dyDescent="0.3">
      <c r="A38">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s="16">
        <v>0</v>
      </c>
      <c r="AH38" s="16">
        <v>0</v>
      </c>
      <c r="AI38" s="16">
        <v>0</v>
      </c>
      <c r="AJ38">
        <v>0</v>
      </c>
      <c r="AK38">
        <v>0</v>
      </c>
      <c r="AL38">
        <v>0</v>
      </c>
      <c r="AM38" s="16">
        <v>0</v>
      </c>
      <c r="AN38">
        <v>0</v>
      </c>
      <c r="AO38">
        <v>0</v>
      </c>
      <c r="AP38">
        <v>0</v>
      </c>
      <c r="AQ38" s="15">
        <v>17.864560999999998</v>
      </c>
      <c r="AR38">
        <v>0</v>
      </c>
    </row>
    <row r="39" spans="1:44" x14ac:dyDescent="0.3">
      <c r="A39">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s="16">
        <v>0</v>
      </c>
      <c r="AH39" s="16">
        <v>0</v>
      </c>
      <c r="AI39" s="15">
        <v>28.750836</v>
      </c>
      <c r="AJ39">
        <v>0</v>
      </c>
      <c r="AK39">
        <v>0</v>
      </c>
      <c r="AL39">
        <v>0</v>
      </c>
      <c r="AM39" s="16">
        <v>0</v>
      </c>
      <c r="AN39">
        <v>0</v>
      </c>
      <c r="AO39">
        <v>0</v>
      </c>
      <c r="AP39">
        <v>0</v>
      </c>
      <c r="AQ39">
        <v>0</v>
      </c>
      <c r="AR39">
        <v>0</v>
      </c>
    </row>
    <row r="40" spans="1:44" x14ac:dyDescent="0.3">
      <c r="A40">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s="16">
        <v>0</v>
      </c>
      <c r="AH40" s="16">
        <v>0</v>
      </c>
      <c r="AI40" s="16">
        <v>0</v>
      </c>
      <c r="AJ40" s="16">
        <v>0</v>
      </c>
      <c r="AK40" s="15">
        <v>53.960475000000002</v>
      </c>
      <c r="AL40" s="16">
        <v>0</v>
      </c>
      <c r="AM40" s="15">
        <v>88.154762000000005</v>
      </c>
      <c r="AN40">
        <v>0</v>
      </c>
      <c r="AO40">
        <v>0</v>
      </c>
      <c r="AP40">
        <v>0</v>
      </c>
      <c r="AQ40">
        <v>0</v>
      </c>
      <c r="AR40">
        <v>0</v>
      </c>
    </row>
    <row r="41" spans="1:44" x14ac:dyDescent="0.3">
      <c r="A41">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s="16">
        <v>0</v>
      </c>
      <c r="AH41" s="16">
        <v>0</v>
      </c>
      <c r="AI41" s="16">
        <v>0</v>
      </c>
      <c r="AJ41" s="16">
        <v>0</v>
      </c>
      <c r="AK41" s="16">
        <v>0</v>
      </c>
      <c r="AL41" s="15">
        <v>58.187936999999998</v>
      </c>
      <c r="AM41" s="16">
        <v>0</v>
      </c>
      <c r="AN41">
        <v>0</v>
      </c>
      <c r="AO41">
        <v>0</v>
      </c>
      <c r="AP41">
        <v>0</v>
      </c>
      <c r="AQ41">
        <v>0</v>
      </c>
      <c r="AR41">
        <v>0</v>
      </c>
    </row>
    <row r="42" spans="1:44" x14ac:dyDescent="0.3">
      <c r="A42">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s="16">
        <v>0</v>
      </c>
      <c r="AH42" s="16">
        <v>0</v>
      </c>
      <c r="AI42" s="16">
        <v>0</v>
      </c>
      <c r="AJ42" s="16">
        <v>0</v>
      </c>
      <c r="AK42" s="15">
        <v>120.706514</v>
      </c>
      <c r="AL42" s="16">
        <v>0</v>
      </c>
      <c r="AM42" s="15">
        <v>117.997967</v>
      </c>
      <c r="AN42">
        <v>0</v>
      </c>
      <c r="AO42">
        <v>0</v>
      </c>
      <c r="AP42">
        <v>0</v>
      </c>
      <c r="AQ42">
        <v>0</v>
      </c>
      <c r="AR42">
        <v>0</v>
      </c>
    </row>
    <row r="43" spans="1:44" x14ac:dyDescent="0.3">
      <c r="A43">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s="16">
        <v>0</v>
      </c>
      <c r="AH43" s="16">
        <v>0</v>
      </c>
      <c r="AI43" s="16">
        <v>0</v>
      </c>
      <c r="AJ43" s="16">
        <v>0</v>
      </c>
      <c r="AK43" s="16">
        <v>0</v>
      </c>
      <c r="AL43" s="16">
        <v>0</v>
      </c>
      <c r="AM43" s="16">
        <v>0</v>
      </c>
      <c r="AN43" s="16">
        <v>0</v>
      </c>
      <c r="AO43" s="16">
        <v>0</v>
      </c>
      <c r="AP43" s="16">
        <v>0</v>
      </c>
      <c r="AQ43">
        <v>0</v>
      </c>
      <c r="AR43" s="15">
        <v>28.856283999999999</v>
      </c>
    </row>
    <row r="44" spans="1:44" x14ac:dyDescent="0.3">
      <c r="A44">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s="16">
        <v>0</v>
      </c>
      <c r="AH44" s="16">
        <v>0</v>
      </c>
      <c r="AI44" s="16">
        <v>0</v>
      </c>
      <c r="AJ44" s="16">
        <v>0</v>
      </c>
      <c r="AK44" s="16">
        <v>0</v>
      </c>
      <c r="AL44" s="16">
        <v>0</v>
      </c>
      <c r="AM44" s="16">
        <v>0</v>
      </c>
      <c r="AN44" s="16">
        <v>0</v>
      </c>
      <c r="AO44" s="16">
        <v>0</v>
      </c>
      <c r="AP44" s="16">
        <v>0</v>
      </c>
      <c r="AQ44">
        <v>0</v>
      </c>
      <c r="AR44">
        <v>0</v>
      </c>
    </row>
  </sheetData>
  <conditionalFormatting sqref="B2:AR44">
    <cfRule type="colorScale" priority="1">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742F6-8FCD-E644-AD14-CB592F7D2917}">
  <dimension ref="A1:AR44"/>
  <sheetViews>
    <sheetView workbookViewId="0">
      <pane xSplit="1" ySplit="1" topLeftCell="B2" activePane="bottomRight" state="frozen"/>
      <selection pane="topRight" activeCell="B1" sqref="B1"/>
      <selection pane="bottomLeft" activeCell="A2" sqref="A2"/>
      <selection pane="bottomRight" activeCell="J12" sqref="A1:AR44"/>
    </sheetView>
  </sheetViews>
  <sheetFormatPr defaultColWidth="11.19921875" defaultRowHeight="15.6" x14ac:dyDescent="0.3"/>
  <sheetData>
    <row r="1" spans="1:44" x14ac:dyDescent="0.3">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row>
    <row r="2" spans="1:44" x14ac:dyDescent="0.3">
      <c r="A2">
        <v>1</v>
      </c>
      <c r="B2">
        <v>0</v>
      </c>
      <c r="C2">
        <v>0</v>
      </c>
      <c r="D2" s="15">
        <v>64.795860000000005</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row>
    <row r="3" spans="1:44" x14ac:dyDescent="0.3">
      <c r="A3">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row>
    <row r="4" spans="1:44" x14ac:dyDescent="0.3">
      <c r="A4">
        <v>3</v>
      </c>
      <c r="B4">
        <v>0</v>
      </c>
      <c r="C4">
        <v>0</v>
      </c>
      <c r="D4">
        <v>0</v>
      </c>
      <c r="E4">
        <v>0</v>
      </c>
      <c r="F4">
        <v>0</v>
      </c>
      <c r="G4">
        <v>0</v>
      </c>
      <c r="H4">
        <v>0</v>
      </c>
      <c r="I4" s="15">
        <v>45.552016000000002</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row>
    <row r="5" spans="1:44" x14ac:dyDescent="0.3">
      <c r="A5">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row>
    <row r="6" spans="1:44" x14ac:dyDescent="0.3">
      <c r="A6">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row>
    <row r="7" spans="1:44" x14ac:dyDescent="0.3">
      <c r="A7">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row>
    <row r="8" spans="1:44" x14ac:dyDescent="0.3">
      <c r="A8">
        <v>7</v>
      </c>
      <c r="B8">
        <v>0</v>
      </c>
      <c r="C8">
        <v>0</v>
      </c>
      <c r="D8">
        <v>0</v>
      </c>
      <c r="E8">
        <v>0</v>
      </c>
      <c r="F8">
        <v>0</v>
      </c>
      <c r="G8">
        <v>0</v>
      </c>
      <c r="H8">
        <v>0</v>
      </c>
      <c r="I8" s="15">
        <v>38.486624999999997</v>
      </c>
      <c r="J8">
        <v>0</v>
      </c>
      <c r="K8">
        <v>0</v>
      </c>
      <c r="L8">
        <v>0</v>
      </c>
      <c r="M8">
        <v>0</v>
      </c>
      <c r="N8">
        <v>0</v>
      </c>
      <c r="O8">
        <v>0</v>
      </c>
      <c r="P8" s="15">
        <v>46.840426000000001</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row>
    <row r="9" spans="1:44" x14ac:dyDescent="0.3">
      <c r="A9">
        <v>8</v>
      </c>
      <c r="B9">
        <v>0</v>
      </c>
      <c r="C9">
        <v>0</v>
      </c>
      <c r="D9">
        <v>0</v>
      </c>
      <c r="E9">
        <v>0</v>
      </c>
      <c r="F9">
        <v>0</v>
      </c>
      <c r="G9">
        <v>0</v>
      </c>
      <c r="H9" s="15">
        <v>38.486624999999997</v>
      </c>
      <c r="J9">
        <v>0</v>
      </c>
      <c r="K9">
        <v>0</v>
      </c>
      <c r="L9">
        <v>0</v>
      </c>
      <c r="M9">
        <v>0</v>
      </c>
      <c r="N9">
        <v>0</v>
      </c>
      <c r="O9">
        <v>0</v>
      </c>
      <c r="P9" s="15">
        <v>51.226877999999999</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row>
    <row r="10" spans="1:44" x14ac:dyDescent="0.3">
      <c r="A10">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row>
    <row r="11" spans="1:44" x14ac:dyDescent="0.3">
      <c r="A11">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row>
    <row r="12" spans="1:44" x14ac:dyDescent="0.3">
      <c r="A12">
        <v>11</v>
      </c>
      <c r="B12">
        <v>0</v>
      </c>
      <c r="C12">
        <v>0</v>
      </c>
      <c r="D12">
        <v>0</v>
      </c>
      <c r="E12">
        <v>0</v>
      </c>
      <c r="F12">
        <v>0</v>
      </c>
      <c r="G12">
        <v>0</v>
      </c>
      <c r="H12">
        <v>0</v>
      </c>
      <c r="I12">
        <v>0</v>
      </c>
      <c r="J12">
        <v>0</v>
      </c>
      <c r="K12">
        <v>0</v>
      </c>
      <c r="L12">
        <v>0</v>
      </c>
      <c r="M12">
        <v>0</v>
      </c>
      <c r="N12">
        <v>0</v>
      </c>
      <c r="O12">
        <v>0</v>
      </c>
      <c r="P12" s="15">
        <v>51.236688999999998</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row>
    <row r="13" spans="1:44" x14ac:dyDescent="0.3">
      <c r="A13">
        <v>12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row>
    <row r="14" spans="1:44" x14ac:dyDescent="0.3">
      <c r="A14">
        <v>13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row>
    <row r="15" spans="1:44" x14ac:dyDescent="0.3">
      <c r="A15">
        <v>14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row>
    <row r="16" spans="1:44" x14ac:dyDescent="0.3">
      <c r="A16">
        <v>15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s="15">
        <v>89.055485000000004</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row>
    <row r="17" spans="1:44" x14ac:dyDescent="0.3">
      <c r="A17">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row>
    <row r="18" spans="1:44" x14ac:dyDescent="0.3">
      <c r="A18">
        <v>17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row>
    <row r="19" spans="1:44" x14ac:dyDescent="0.3">
      <c r="A19">
        <v>18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row>
    <row r="20" spans="1:44" x14ac:dyDescent="0.3">
      <c r="A20">
        <v>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row>
    <row r="21" spans="1:44" x14ac:dyDescent="0.3">
      <c r="A21">
        <v>20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row>
    <row r="22" spans="1:44" x14ac:dyDescent="0.3">
      <c r="A22">
        <v>21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row>
    <row r="23" spans="1:44" x14ac:dyDescent="0.3">
      <c r="A23">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row>
    <row r="24" spans="1:44" x14ac:dyDescent="0.3">
      <c r="A24">
        <v>23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s="15">
        <v>70.052841999999998</v>
      </c>
      <c r="AB24">
        <v>0</v>
      </c>
      <c r="AC24">
        <v>0</v>
      </c>
      <c r="AD24">
        <v>0</v>
      </c>
      <c r="AE24">
        <v>0</v>
      </c>
      <c r="AF24">
        <v>0</v>
      </c>
      <c r="AG24">
        <v>0</v>
      </c>
      <c r="AH24">
        <v>0</v>
      </c>
      <c r="AI24">
        <v>0</v>
      </c>
      <c r="AJ24">
        <v>0</v>
      </c>
      <c r="AK24">
        <v>0</v>
      </c>
      <c r="AL24">
        <v>0</v>
      </c>
      <c r="AM24">
        <v>0</v>
      </c>
      <c r="AN24">
        <v>0</v>
      </c>
      <c r="AO24">
        <v>0</v>
      </c>
      <c r="AP24">
        <v>0</v>
      </c>
      <c r="AQ24">
        <v>0</v>
      </c>
      <c r="AR24">
        <v>0</v>
      </c>
    </row>
    <row r="25" spans="1:44" x14ac:dyDescent="0.3">
      <c r="A25">
        <v>24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row>
    <row r="26" spans="1:44" x14ac:dyDescent="0.3">
      <c r="A26">
        <v>25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row>
    <row r="27" spans="1:44" x14ac:dyDescent="0.3">
      <c r="A27">
        <v>26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s="15">
        <v>126.43754300000001</v>
      </c>
      <c r="AF27">
        <v>0</v>
      </c>
      <c r="AG27">
        <v>0</v>
      </c>
      <c r="AH27">
        <v>0</v>
      </c>
      <c r="AI27">
        <v>0</v>
      </c>
      <c r="AJ27">
        <v>0</v>
      </c>
      <c r="AK27">
        <v>0</v>
      </c>
      <c r="AL27">
        <v>0</v>
      </c>
      <c r="AM27">
        <v>0</v>
      </c>
      <c r="AN27">
        <v>0</v>
      </c>
      <c r="AO27">
        <v>0</v>
      </c>
      <c r="AP27">
        <v>0</v>
      </c>
      <c r="AQ27">
        <v>0</v>
      </c>
      <c r="AR27">
        <v>0</v>
      </c>
    </row>
    <row r="28" spans="1:44" x14ac:dyDescent="0.3">
      <c r="A28">
        <v>27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row>
    <row r="29" spans="1:44" x14ac:dyDescent="0.3">
      <c r="A29">
        <v>28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row>
    <row r="30" spans="1:44" x14ac:dyDescent="0.3">
      <c r="A30">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row>
    <row r="31" spans="1:44" x14ac:dyDescent="0.3">
      <c r="A31">
        <v>30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s="15">
        <v>82.808300000000003</v>
      </c>
      <c r="AM31">
        <v>0</v>
      </c>
      <c r="AN31">
        <v>0</v>
      </c>
      <c r="AO31">
        <v>0</v>
      </c>
      <c r="AP31">
        <v>0</v>
      </c>
      <c r="AQ31">
        <v>0</v>
      </c>
      <c r="AR31">
        <v>0</v>
      </c>
    </row>
    <row r="32" spans="1:44" x14ac:dyDescent="0.3">
      <c r="A32">
        <v>31</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row>
    <row r="33" spans="1:44" x14ac:dyDescent="0.3">
      <c r="A33">
        <v>32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row>
    <row r="34" spans="1:44" x14ac:dyDescent="0.3">
      <c r="A34">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row>
    <row r="35" spans="1:44" x14ac:dyDescent="0.3">
      <c r="A35">
        <v>34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s="15">
        <v>145.744191</v>
      </c>
      <c r="AM35" s="15">
        <v>35.027960999999998</v>
      </c>
      <c r="AN35">
        <v>0</v>
      </c>
      <c r="AO35">
        <v>0</v>
      </c>
      <c r="AP35">
        <v>0</v>
      </c>
      <c r="AQ35">
        <v>0</v>
      </c>
      <c r="AR35">
        <v>0</v>
      </c>
    </row>
    <row r="36" spans="1:44" x14ac:dyDescent="0.3">
      <c r="A36">
        <v>35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row>
    <row r="37" spans="1:44" x14ac:dyDescent="0.3">
      <c r="A37">
        <v>36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row>
    <row r="38" spans="1:44" x14ac:dyDescent="0.3">
      <c r="A38">
        <v>37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row>
    <row r="39" spans="1:44" x14ac:dyDescent="0.3">
      <c r="A39">
        <v>38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s="15">
        <v>35.027960999999998</v>
      </c>
      <c r="AJ39">
        <v>0</v>
      </c>
      <c r="AK39">
        <v>0</v>
      </c>
      <c r="AL39">
        <v>0</v>
      </c>
      <c r="AM39">
        <v>0</v>
      </c>
      <c r="AN39">
        <v>0</v>
      </c>
      <c r="AO39">
        <v>0</v>
      </c>
      <c r="AP39">
        <v>0</v>
      </c>
      <c r="AQ39">
        <v>0</v>
      </c>
      <c r="AR39">
        <v>0</v>
      </c>
    </row>
    <row r="40" spans="1:44" x14ac:dyDescent="0.3">
      <c r="A40">
        <v>39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row>
    <row r="41" spans="1:44" x14ac:dyDescent="0.3">
      <c r="A41">
        <v>40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row>
    <row r="42" spans="1:44" x14ac:dyDescent="0.3">
      <c r="A42">
        <v>41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s="15">
        <v>161.849448</v>
      </c>
      <c r="AN42">
        <v>0</v>
      </c>
      <c r="AO42">
        <v>0</v>
      </c>
      <c r="AP42">
        <v>0</v>
      </c>
      <c r="AQ42">
        <v>0</v>
      </c>
      <c r="AR42">
        <v>0</v>
      </c>
    </row>
    <row r="43" spans="1:44" x14ac:dyDescent="0.3">
      <c r="A43">
        <v>42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row>
    <row r="44" spans="1:44" x14ac:dyDescent="0.3">
      <c r="A44">
        <v>43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row>
  </sheetData>
  <conditionalFormatting sqref="B2:AR44">
    <cfRule type="colorScale" priority="1">
      <colorScale>
        <cfvo type="min"/>
        <cfvo type="max"/>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388C-C204-094B-B93A-09E3E52B8B5F}">
  <dimension ref="A1:L58"/>
  <sheetViews>
    <sheetView topLeftCell="A17" zoomScale="125" workbookViewId="0">
      <selection activeCell="E42" sqref="E42"/>
    </sheetView>
  </sheetViews>
  <sheetFormatPr defaultColWidth="11.19921875" defaultRowHeight="15.6" x14ac:dyDescent="0.3"/>
  <cols>
    <col min="1" max="1" width="41.5" customWidth="1"/>
    <col min="2" max="3" width="11" bestFit="1" customWidth="1"/>
    <col min="4" max="4" width="14.5" bestFit="1" customWidth="1"/>
    <col min="9" max="9" width="11" bestFit="1" customWidth="1"/>
    <col min="11" max="11" width="11" bestFit="1" customWidth="1"/>
  </cols>
  <sheetData>
    <row r="1" spans="1:12" x14ac:dyDescent="0.3">
      <c r="A1" s="1" t="s">
        <v>0</v>
      </c>
      <c r="B1" s="2" t="s">
        <v>1</v>
      </c>
      <c r="C1" s="2" t="s">
        <v>2</v>
      </c>
      <c r="D1" s="1" t="s">
        <v>3</v>
      </c>
      <c r="E1" s="1" t="s">
        <v>4</v>
      </c>
      <c r="F1" s="1" t="s">
        <v>5</v>
      </c>
      <c r="G1" s="1" t="s">
        <v>6</v>
      </c>
      <c r="H1" s="1" t="s">
        <v>7</v>
      </c>
      <c r="I1" s="1" t="s">
        <v>8</v>
      </c>
      <c r="J1" s="1" t="s">
        <v>9</v>
      </c>
      <c r="K1" s="1" t="s">
        <v>10</v>
      </c>
      <c r="L1" s="1" t="s">
        <v>11</v>
      </c>
    </row>
    <row r="2" spans="1:12" s="11" customFormat="1" x14ac:dyDescent="0.3">
      <c r="A2" s="7" t="s">
        <v>12</v>
      </c>
      <c r="B2" s="8">
        <v>11.75079</v>
      </c>
      <c r="C2" s="8">
        <v>45.252960000000002</v>
      </c>
      <c r="D2" s="9">
        <v>342306000</v>
      </c>
      <c r="E2" s="7" t="s">
        <v>13</v>
      </c>
      <c r="F2" s="7" t="s">
        <v>14</v>
      </c>
      <c r="G2" s="7" t="s">
        <v>15</v>
      </c>
      <c r="H2" s="7" t="s">
        <v>16</v>
      </c>
      <c r="I2" s="7">
        <v>800000</v>
      </c>
      <c r="J2" s="7" t="s">
        <v>17</v>
      </c>
      <c r="K2" s="7">
        <v>2021</v>
      </c>
      <c r="L2" s="10" t="s">
        <v>18</v>
      </c>
    </row>
    <row r="3" spans="1:12" s="11" customFormat="1" x14ac:dyDescent="0.3">
      <c r="A3" s="7" t="s">
        <v>19</v>
      </c>
      <c r="B3" s="8">
        <v>11.963570000000001</v>
      </c>
      <c r="C3" s="8">
        <v>45.88</v>
      </c>
      <c r="D3" s="9">
        <v>351766000</v>
      </c>
      <c r="E3" s="7" t="s">
        <v>13</v>
      </c>
      <c r="F3" s="7" t="s">
        <v>20</v>
      </c>
      <c r="G3" s="7" t="s">
        <v>21</v>
      </c>
      <c r="H3" s="7" t="s">
        <v>22</v>
      </c>
      <c r="I3" s="7">
        <v>1000000</v>
      </c>
      <c r="J3" s="7"/>
      <c r="K3" s="7">
        <v>2021</v>
      </c>
      <c r="L3" s="10" t="s">
        <v>18</v>
      </c>
    </row>
    <row r="4" spans="1:12" s="11" customFormat="1" x14ac:dyDescent="0.3">
      <c r="A4" s="7" t="s">
        <v>23</v>
      </c>
      <c r="B4" s="8">
        <v>12.269209999999999</v>
      </c>
      <c r="C4" s="8">
        <v>45.816160000000004</v>
      </c>
      <c r="D4" s="9">
        <v>197108000</v>
      </c>
      <c r="E4" s="7" t="s">
        <v>13</v>
      </c>
      <c r="F4" s="7" t="s">
        <v>24</v>
      </c>
      <c r="G4" s="7" t="s">
        <v>21</v>
      </c>
      <c r="H4" s="7" t="s">
        <v>25</v>
      </c>
      <c r="I4" s="7" t="s">
        <v>26</v>
      </c>
      <c r="J4" s="7"/>
      <c r="K4" s="7">
        <v>2021</v>
      </c>
      <c r="L4" s="10" t="s">
        <v>18</v>
      </c>
    </row>
    <row r="5" spans="1:12" s="11" customFormat="1" x14ac:dyDescent="0.3">
      <c r="A5" s="7" t="s">
        <v>27</v>
      </c>
      <c r="B5" s="8">
        <v>7.51762</v>
      </c>
      <c r="C5" s="8">
        <v>44.262830000000001</v>
      </c>
      <c r="D5" s="9">
        <v>933726000</v>
      </c>
      <c r="E5" s="7" t="s">
        <v>13</v>
      </c>
      <c r="F5" s="7" t="s">
        <v>14</v>
      </c>
      <c r="G5" s="7" t="s">
        <v>21</v>
      </c>
      <c r="H5" s="7" t="s">
        <v>28</v>
      </c>
      <c r="I5" s="7">
        <v>1600000</v>
      </c>
      <c r="J5" s="7" t="s">
        <v>17</v>
      </c>
      <c r="K5" s="7">
        <v>2021</v>
      </c>
      <c r="L5" s="10" t="s">
        <v>18</v>
      </c>
    </row>
    <row r="6" spans="1:12" s="11" customFormat="1" x14ac:dyDescent="0.3">
      <c r="A6" s="7" t="s">
        <v>29</v>
      </c>
      <c r="B6" s="8">
        <v>10.047129999999999</v>
      </c>
      <c r="C6" s="8">
        <v>45.716859999999997</v>
      </c>
      <c r="D6" s="9">
        <v>128287000</v>
      </c>
      <c r="E6" s="7" t="s">
        <v>13</v>
      </c>
      <c r="F6" s="7" t="s">
        <v>30</v>
      </c>
      <c r="G6" s="7" t="s">
        <v>31</v>
      </c>
      <c r="H6" s="7" t="s">
        <v>32</v>
      </c>
      <c r="I6" s="7"/>
      <c r="J6" s="7"/>
      <c r="K6" s="7">
        <v>2021</v>
      </c>
      <c r="L6" s="10" t="s">
        <v>18</v>
      </c>
    </row>
    <row r="7" spans="1:12" s="11" customFormat="1" x14ac:dyDescent="0.3">
      <c r="A7" s="7" t="s">
        <v>33</v>
      </c>
      <c r="B7" s="8">
        <v>9.4682999999999993</v>
      </c>
      <c r="C7" s="8">
        <v>45.68723</v>
      </c>
      <c r="D7" s="9">
        <v>790120000</v>
      </c>
      <c r="E7" s="7" t="s">
        <v>13</v>
      </c>
      <c r="F7" s="7" t="s">
        <v>34</v>
      </c>
      <c r="G7" s="7" t="s">
        <v>21</v>
      </c>
      <c r="H7" s="7" t="s">
        <v>35</v>
      </c>
      <c r="I7" s="7">
        <v>1500000</v>
      </c>
      <c r="J7" s="7" t="s">
        <v>17</v>
      </c>
      <c r="K7" s="7">
        <v>2021</v>
      </c>
      <c r="L7" s="10" t="s">
        <v>18</v>
      </c>
    </row>
    <row r="8" spans="1:12" s="11" customFormat="1" x14ac:dyDescent="0.3">
      <c r="A8" s="7" t="s">
        <v>36</v>
      </c>
      <c r="B8" s="8">
        <v>8.6675400000000007</v>
      </c>
      <c r="C8" s="8">
        <v>45.886299999999999</v>
      </c>
      <c r="D8" s="9">
        <v>510739000</v>
      </c>
      <c r="E8" s="7" t="s">
        <v>13</v>
      </c>
      <c r="F8" s="7" t="s">
        <v>37</v>
      </c>
      <c r="G8" s="7"/>
      <c r="H8" s="7" t="s">
        <v>38</v>
      </c>
      <c r="I8" s="7" t="s">
        <v>26</v>
      </c>
      <c r="J8" s="7"/>
      <c r="K8" s="7">
        <v>2021</v>
      </c>
      <c r="L8" s="10" t="s">
        <v>18</v>
      </c>
    </row>
    <row r="9" spans="1:12" s="11" customFormat="1" x14ac:dyDescent="0.3">
      <c r="A9" s="7" t="s">
        <v>39</v>
      </c>
      <c r="B9" s="8">
        <v>10.341900000000001</v>
      </c>
      <c r="C9" s="8">
        <v>45.516039999999997</v>
      </c>
      <c r="D9" s="9">
        <v>918742000</v>
      </c>
      <c r="E9" s="7" t="s">
        <v>13</v>
      </c>
      <c r="F9" s="7" t="s">
        <v>34</v>
      </c>
      <c r="G9" s="7" t="s">
        <v>21</v>
      </c>
      <c r="H9" s="7" t="s">
        <v>40</v>
      </c>
      <c r="I9" s="7">
        <v>1300000</v>
      </c>
      <c r="J9" s="7" t="s">
        <v>17</v>
      </c>
      <c r="K9" s="7">
        <v>2021</v>
      </c>
      <c r="L9" s="10" t="s">
        <v>18</v>
      </c>
    </row>
    <row r="10" spans="1:12" s="11" customFormat="1" x14ac:dyDescent="0.3">
      <c r="A10" s="7" t="s">
        <v>29</v>
      </c>
      <c r="B10" s="8">
        <v>10.047169999999999</v>
      </c>
      <c r="C10" s="8">
        <v>45.71698</v>
      </c>
      <c r="D10" s="9">
        <v>128207000</v>
      </c>
      <c r="E10" s="7" t="s">
        <v>13</v>
      </c>
      <c r="F10" s="7" t="s">
        <v>41</v>
      </c>
      <c r="G10" s="7" t="s">
        <v>21</v>
      </c>
      <c r="H10" s="7" t="s">
        <v>42</v>
      </c>
      <c r="I10" s="7" t="s">
        <v>26</v>
      </c>
      <c r="J10" s="7"/>
      <c r="K10" s="7">
        <v>2021</v>
      </c>
      <c r="L10" s="10" t="s">
        <v>18</v>
      </c>
    </row>
    <row r="11" spans="1:12" s="11" customFormat="1" x14ac:dyDescent="0.3">
      <c r="A11" s="7" t="s">
        <v>43</v>
      </c>
      <c r="B11" s="8">
        <v>8.6815800000000003</v>
      </c>
      <c r="C11" s="8">
        <v>45.782780000000002</v>
      </c>
      <c r="D11" s="9">
        <v>536971000</v>
      </c>
      <c r="E11" s="7" t="s">
        <v>13</v>
      </c>
      <c r="F11" s="7" t="s">
        <v>44</v>
      </c>
      <c r="G11" s="7" t="s">
        <v>21</v>
      </c>
      <c r="H11" s="7" t="s">
        <v>45</v>
      </c>
      <c r="I11" s="7" t="s">
        <v>26</v>
      </c>
      <c r="J11" s="7"/>
      <c r="K11" s="7">
        <v>2021</v>
      </c>
      <c r="L11" s="10" t="s">
        <v>18</v>
      </c>
    </row>
    <row r="12" spans="1:12" s="11" customFormat="1" x14ac:dyDescent="0.3">
      <c r="A12" s="7" t="s">
        <v>46</v>
      </c>
      <c r="B12" s="8">
        <v>12.74245</v>
      </c>
      <c r="C12" s="8">
        <v>46.17642</v>
      </c>
      <c r="D12" s="9">
        <v>438034000</v>
      </c>
      <c r="E12" s="7" t="s">
        <v>13</v>
      </c>
      <c r="F12" s="7" t="s">
        <v>14</v>
      </c>
      <c r="G12" s="7" t="s">
        <v>21</v>
      </c>
      <c r="H12" s="7" t="s">
        <v>47</v>
      </c>
      <c r="I12" s="7">
        <v>1000000</v>
      </c>
      <c r="J12" s="7" t="s">
        <v>17</v>
      </c>
      <c r="K12" s="7">
        <v>2021</v>
      </c>
      <c r="L12" s="10" t="s">
        <v>18</v>
      </c>
    </row>
    <row r="13" spans="1:12" s="11" customFormat="1" x14ac:dyDescent="0.3">
      <c r="A13" s="7" t="s">
        <v>48</v>
      </c>
      <c r="B13" s="8">
        <v>9.7164300000000008</v>
      </c>
      <c r="C13" s="8">
        <v>45.04795</v>
      </c>
      <c r="D13" s="9">
        <v>405887000</v>
      </c>
      <c r="E13" s="7" t="s">
        <v>13</v>
      </c>
      <c r="F13" s="7" t="s">
        <v>20</v>
      </c>
      <c r="G13" s="7" t="s">
        <v>21</v>
      </c>
      <c r="H13" s="7" t="s">
        <v>49</v>
      </c>
      <c r="I13" s="7">
        <v>1000000</v>
      </c>
      <c r="J13" s="7"/>
      <c r="K13" s="7">
        <v>2021</v>
      </c>
      <c r="L13" s="10" t="s">
        <v>18</v>
      </c>
    </row>
    <row r="14" spans="1:12" s="11" customFormat="1" x14ac:dyDescent="0.3">
      <c r="A14" s="7" t="s">
        <v>50</v>
      </c>
      <c r="B14" s="8">
        <v>9.8099799999999995</v>
      </c>
      <c r="C14" s="8">
        <v>44.793680000000002</v>
      </c>
      <c r="D14" s="9">
        <v>587138470</v>
      </c>
      <c r="E14" s="7" t="s">
        <v>13</v>
      </c>
      <c r="F14" s="7" t="s">
        <v>14</v>
      </c>
      <c r="G14" s="7" t="s">
        <v>21</v>
      </c>
      <c r="H14" s="7" t="s">
        <v>51</v>
      </c>
      <c r="I14" s="7">
        <v>1300000</v>
      </c>
      <c r="J14" s="7" t="s">
        <v>17</v>
      </c>
      <c r="K14" s="7">
        <v>2021</v>
      </c>
      <c r="L14" s="10" t="s">
        <v>18</v>
      </c>
    </row>
    <row r="15" spans="1:12" s="11" customFormat="1" x14ac:dyDescent="0.3">
      <c r="A15" s="7" t="s">
        <v>52</v>
      </c>
      <c r="B15" s="8">
        <v>8.7880199999999995</v>
      </c>
      <c r="C15" s="8">
        <v>45.441830000000003</v>
      </c>
      <c r="D15" s="9">
        <v>850236000</v>
      </c>
      <c r="E15" s="7" t="s">
        <v>53</v>
      </c>
      <c r="F15" s="7"/>
      <c r="G15" s="7" t="s">
        <v>54</v>
      </c>
      <c r="H15" s="7" t="s">
        <v>55</v>
      </c>
      <c r="I15" s="7"/>
      <c r="J15" s="7"/>
      <c r="K15" s="7">
        <v>2021</v>
      </c>
      <c r="L15" s="10" t="s">
        <v>18</v>
      </c>
    </row>
    <row r="16" spans="1:12" s="11" customFormat="1" x14ac:dyDescent="0.3">
      <c r="A16" s="7" t="s">
        <v>56</v>
      </c>
      <c r="B16" s="8">
        <v>8.8840800000000009</v>
      </c>
      <c r="C16" s="8">
        <v>45.101039999999998</v>
      </c>
      <c r="D16" s="9">
        <v>1597264000</v>
      </c>
      <c r="E16" s="7" t="s">
        <v>53</v>
      </c>
      <c r="F16" s="7" t="s">
        <v>57</v>
      </c>
      <c r="G16" s="7" t="s">
        <v>54</v>
      </c>
      <c r="H16" s="7" t="s">
        <v>58</v>
      </c>
      <c r="I16" s="7"/>
      <c r="J16" s="7"/>
      <c r="K16" s="7">
        <v>2021</v>
      </c>
      <c r="L16" s="10" t="s">
        <v>18</v>
      </c>
    </row>
    <row r="17" spans="1:12" s="11" customFormat="1" x14ac:dyDescent="0.3">
      <c r="A17" s="7" t="s">
        <v>59</v>
      </c>
      <c r="B17" s="8">
        <v>8.95045</v>
      </c>
      <c r="C17" s="8">
        <v>44.572049999999997</v>
      </c>
      <c r="D17" s="9">
        <v>258516117</v>
      </c>
      <c r="E17" s="7" t="s">
        <v>53</v>
      </c>
      <c r="F17" s="7" t="s">
        <v>60</v>
      </c>
      <c r="G17" s="7" t="s">
        <v>54</v>
      </c>
      <c r="H17" s="7" t="s">
        <v>61</v>
      </c>
      <c r="I17" s="7"/>
      <c r="J17" s="7"/>
      <c r="K17" s="7">
        <v>2021</v>
      </c>
      <c r="L17" s="10" t="s">
        <v>18</v>
      </c>
    </row>
    <row r="18" spans="1:12" s="11" customFormat="1" x14ac:dyDescent="0.3">
      <c r="A18" s="7" t="s">
        <v>62</v>
      </c>
      <c r="B18" s="8">
        <v>11.924099999999999</v>
      </c>
      <c r="C18" s="8">
        <v>45.408700000000003</v>
      </c>
      <c r="D18" s="9">
        <v>179315793</v>
      </c>
      <c r="E18" s="7" t="s">
        <v>63</v>
      </c>
      <c r="F18" s="7" t="s">
        <v>64</v>
      </c>
      <c r="G18" s="7" t="s">
        <v>65</v>
      </c>
      <c r="H18" s="7" t="s">
        <v>66</v>
      </c>
      <c r="I18" s="7">
        <v>600</v>
      </c>
      <c r="J18" s="7" t="s">
        <v>67</v>
      </c>
      <c r="K18" s="7">
        <v>2021</v>
      </c>
      <c r="L18" s="10" t="s">
        <v>18</v>
      </c>
    </row>
    <row r="19" spans="1:12" s="11" customFormat="1" x14ac:dyDescent="0.3">
      <c r="A19" s="7" t="s">
        <v>68</v>
      </c>
      <c r="B19" s="8">
        <v>11.053699999999999</v>
      </c>
      <c r="C19" s="8">
        <v>45.400399999999998</v>
      </c>
      <c r="D19" s="9">
        <v>200899360.40948996</v>
      </c>
      <c r="E19" s="7" t="s">
        <v>63</v>
      </c>
      <c r="F19" s="7" t="s">
        <v>69</v>
      </c>
      <c r="G19" s="7" t="s">
        <v>65</v>
      </c>
      <c r="H19" s="7" t="s">
        <v>70</v>
      </c>
      <c r="I19" s="7">
        <v>180000</v>
      </c>
      <c r="J19" s="7" t="s">
        <v>17</v>
      </c>
      <c r="K19" s="7" t="s">
        <v>71</v>
      </c>
      <c r="L19" s="7" t="s">
        <v>72</v>
      </c>
    </row>
    <row r="20" spans="1:12" s="11" customFormat="1" x14ac:dyDescent="0.3">
      <c r="A20" s="7" t="s">
        <v>73</v>
      </c>
      <c r="B20" s="8">
        <v>11.30925</v>
      </c>
      <c r="C20" s="8">
        <v>46.468580000000003</v>
      </c>
      <c r="D20" s="9">
        <v>145093982.51796496</v>
      </c>
      <c r="E20" s="7" t="s">
        <v>63</v>
      </c>
      <c r="F20" s="7" t="s">
        <v>74</v>
      </c>
      <c r="G20" s="7" t="s">
        <v>65</v>
      </c>
      <c r="H20" s="7" t="s">
        <v>75</v>
      </c>
      <c r="I20" s="7">
        <v>130000</v>
      </c>
      <c r="J20" s="7" t="s">
        <v>17</v>
      </c>
      <c r="K20" s="7" t="s">
        <v>71</v>
      </c>
      <c r="L20" s="7" t="s">
        <v>72</v>
      </c>
    </row>
    <row r="21" spans="1:12" s="11" customFormat="1" x14ac:dyDescent="0.3">
      <c r="A21" s="7" t="s">
        <v>76</v>
      </c>
      <c r="B21" s="8">
        <v>7.5882199999999997</v>
      </c>
      <c r="C21" s="8">
        <v>45.03651</v>
      </c>
      <c r="D21" s="9">
        <v>600525753</v>
      </c>
      <c r="E21" s="7" t="s">
        <v>63</v>
      </c>
      <c r="F21" s="7" t="s">
        <v>77</v>
      </c>
      <c r="G21" s="7" t="s">
        <v>65</v>
      </c>
      <c r="H21" s="7" t="s">
        <v>78</v>
      </c>
      <c r="I21" s="7">
        <v>421000</v>
      </c>
      <c r="J21" s="7" t="s">
        <v>17</v>
      </c>
      <c r="K21" s="7">
        <v>2021</v>
      </c>
      <c r="L21" s="10" t="s">
        <v>18</v>
      </c>
    </row>
    <row r="22" spans="1:12" s="11" customFormat="1" x14ac:dyDescent="0.3">
      <c r="A22" s="7" t="s">
        <v>79</v>
      </c>
      <c r="B22" s="8">
        <v>10.20872</v>
      </c>
      <c r="C22" s="8">
        <v>45.51314</v>
      </c>
      <c r="D22" s="9">
        <v>867256250</v>
      </c>
      <c r="E22" s="7" t="s">
        <v>63</v>
      </c>
      <c r="F22" s="7" t="s">
        <v>80</v>
      </c>
      <c r="G22" s="7" t="s">
        <v>65</v>
      </c>
      <c r="H22" s="7" t="s">
        <v>81</v>
      </c>
      <c r="I22" s="7">
        <v>730000</v>
      </c>
      <c r="J22" s="7" t="s">
        <v>17</v>
      </c>
      <c r="K22" s="7">
        <v>2022</v>
      </c>
      <c r="L22" s="7" t="s">
        <v>82</v>
      </c>
    </row>
    <row r="23" spans="1:12" s="11" customFormat="1" x14ac:dyDescent="0.3">
      <c r="A23" s="7" t="s">
        <v>83</v>
      </c>
      <c r="B23" s="8">
        <v>8.8373200000000001</v>
      </c>
      <c r="C23" s="8">
        <v>45.572769999999998</v>
      </c>
      <c r="D23" s="9">
        <v>122771831.36135496</v>
      </c>
      <c r="E23" s="7" t="s">
        <v>63</v>
      </c>
      <c r="F23" s="7" t="s">
        <v>84</v>
      </c>
      <c r="G23" s="7" t="s">
        <v>65</v>
      </c>
      <c r="H23" s="7" t="s">
        <v>85</v>
      </c>
      <c r="I23" s="7">
        <v>110000</v>
      </c>
      <c r="J23" s="7" t="s">
        <v>17</v>
      </c>
      <c r="K23" s="7" t="s">
        <v>71</v>
      </c>
      <c r="L23" s="7" t="s">
        <v>72</v>
      </c>
    </row>
    <row r="24" spans="1:12" s="11" customFormat="1" x14ac:dyDescent="0.3">
      <c r="A24" s="7" t="s">
        <v>86</v>
      </c>
      <c r="B24" s="8">
        <v>9.0714299999999994</v>
      </c>
      <c r="C24" s="8">
        <v>45.774059999999999</v>
      </c>
      <c r="D24" s="9">
        <v>105538400</v>
      </c>
      <c r="E24" s="7" t="s">
        <v>63</v>
      </c>
      <c r="F24" s="7" t="s">
        <v>87</v>
      </c>
      <c r="G24" s="7" t="s">
        <v>65</v>
      </c>
      <c r="H24" s="7" t="s">
        <v>88</v>
      </c>
      <c r="I24" s="7">
        <v>93000</v>
      </c>
      <c r="J24" s="7" t="s">
        <v>17</v>
      </c>
      <c r="K24" s="7">
        <v>2021</v>
      </c>
      <c r="L24" s="10" t="s">
        <v>18</v>
      </c>
    </row>
    <row r="25" spans="1:12" s="11" customFormat="1" x14ac:dyDescent="0.3">
      <c r="A25" s="7" t="s">
        <v>89</v>
      </c>
      <c r="B25" s="8">
        <v>9.6078200000000002</v>
      </c>
      <c r="C25" s="8">
        <v>45.634659999999997</v>
      </c>
      <c r="D25" s="9">
        <v>190599884</v>
      </c>
      <c r="E25" s="7" t="s">
        <v>63</v>
      </c>
      <c r="F25" s="7" t="s">
        <v>90</v>
      </c>
      <c r="G25" s="7" t="s">
        <v>65</v>
      </c>
      <c r="H25" s="7" t="s">
        <v>91</v>
      </c>
      <c r="I25" s="7">
        <v>150000</v>
      </c>
      <c r="J25" s="7" t="s">
        <v>17</v>
      </c>
      <c r="K25" s="7">
        <v>2021</v>
      </c>
      <c r="L25" s="10" t="s">
        <v>18</v>
      </c>
    </row>
    <row r="26" spans="1:12" s="11" customFormat="1" x14ac:dyDescent="0.3">
      <c r="A26" s="7" t="s">
        <v>92</v>
      </c>
      <c r="B26" s="8">
        <v>9.1791900000000002</v>
      </c>
      <c r="C26" s="8">
        <v>45.610050000000001</v>
      </c>
      <c r="D26" s="9">
        <v>111610755.78304997</v>
      </c>
      <c r="E26" s="7" t="s">
        <v>63</v>
      </c>
      <c r="F26" s="7" t="s">
        <v>93</v>
      </c>
      <c r="G26" s="7" t="s">
        <v>65</v>
      </c>
      <c r="H26" s="7" t="s">
        <v>94</v>
      </c>
      <c r="I26" s="7">
        <v>100000</v>
      </c>
      <c r="J26" s="7" t="s">
        <v>17</v>
      </c>
      <c r="K26" s="7" t="s">
        <v>71</v>
      </c>
      <c r="L26" s="7" t="s">
        <v>72</v>
      </c>
    </row>
    <row r="27" spans="1:12" s="11" customFormat="1" x14ac:dyDescent="0.3">
      <c r="A27" s="7" t="s">
        <v>95</v>
      </c>
      <c r="B27" s="8">
        <v>9.0725599999999993</v>
      </c>
      <c r="C27" s="8">
        <v>45.504100000000001</v>
      </c>
      <c r="D27" s="9">
        <v>323606842</v>
      </c>
      <c r="E27" s="7" t="s">
        <v>63</v>
      </c>
      <c r="F27" s="7" t="s">
        <v>80</v>
      </c>
      <c r="G27" s="7" t="s">
        <v>65</v>
      </c>
      <c r="H27" s="7" t="s">
        <v>96</v>
      </c>
      <c r="I27" s="7">
        <v>540000</v>
      </c>
      <c r="J27" s="7" t="s">
        <v>17</v>
      </c>
      <c r="K27" s="7">
        <v>2021</v>
      </c>
      <c r="L27" s="10" t="s">
        <v>18</v>
      </c>
    </row>
    <row r="28" spans="1:12" s="11" customFormat="1" x14ac:dyDescent="0.3">
      <c r="A28" s="7" t="s">
        <v>97</v>
      </c>
      <c r="B28" s="8">
        <v>9.3601100000000006</v>
      </c>
      <c r="C28" s="8">
        <v>45.170850000000002</v>
      </c>
      <c r="D28" s="9">
        <v>120000000</v>
      </c>
      <c r="E28" s="7" t="s">
        <v>63</v>
      </c>
      <c r="F28" s="7" t="s">
        <v>80</v>
      </c>
      <c r="G28" s="7" t="s">
        <v>98</v>
      </c>
      <c r="H28" s="7" t="s">
        <v>99</v>
      </c>
      <c r="I28" s="7">
        <v>160000</v>
      </c>
      <c r="J28" s="7" t="s">
        <v>17</v>
      </c>
      <c r="K28" s="7" t="s">
        <v>71</v>
      </c>
      <c r="L28" s="7" t="s">
        <v>72</v>
      </c>
    </row>
    <row r="29" spans="1:12" s="11" customFormat="1" x14ac:dyDescent="0.3">
      <c r="A29" s="7" t="s">
        <v>100</v>
      </c>
      <c r="B29" s="8">
        <v>9.2457799999999999</v>
      </c>
      <c r="C29" s="8">
        <v>45.536929999999998</v>
      </c>
      <c r="D29" s="9">
        <v>223853000</v>
      </c>
      <c r="E29" s="7" t="s">
        <v>63</v>
      </c>
      <c r="F29" s="7" t="s">
        <v>101</v>
      </c>
      <c r="G29" s="7" t="s">
        <v>65</v>
      </c>
      <c r="H29" s="7" t="s">
        <v>102</v>
      </c>
      <c r="I29" s="7">
        <v>174900</v>
      </c>
      <c r="J29" s="7" t="s">
        <v>17</v>
      </c>
      <c r="K29" s="7">
        <v>2021</v>
      </c>
      <c r="L29" s="10" t="s">
        <v>18</v>
      </c>
    </row>
    <row r="30" spans="1:12" s="11" customFormat="1" x14ac:dyDescent="0.3">
      <c r="A30" s="7" t="s">
        <v>103</v>
      </c>
      <c r="B30" s="8">
        <v>9.3596500000000002</v>
      </c>
      <c r="C30" s="8">
        <v>45.839730000000003</v>
      </c>
      <c r="D30" s="9">
        <v>128208990</v>
      </c>
      <c r="E30" s="7" t="s">
        <v>63</v>
      </c>
      <c r="F30" s="7" t="s">
        <v>104</v>
      </c>
      <c r="G30" s="7" t="s">
        <v>65</v>
      </c>
      <c r="H30" s="7" t="s">
        <v>105</v>
      </c>
      <c r="I30" s="7">
        <v>93400</v>
      </c>
      <c r="J30" s="7" t="s">
        <v>17</v>
      </c>
      <c r="K30" s="7">
        <v>2021</v>
      </c>
      <c r="L30" s="10" t="s">
        <v>18</v>
      </c>
    </row>
    <row r="31" spans="1:12" s="11" customFormat="1" x14ac:dyDescent="0.3">
      <c r="A31" s="7" t="s">
        <v>106</v>
      </c>
      <c r="B31" s="8">
        <v>13.80006</v>
      </c>
      <c r="C31" s="8">
        <v>45.611739999999998</v>
      </c>
      <c r="D31" s="9">
        <v>157981171</v>
      </c>
      <c r="E31" s="7" t="s">
        <v>63</v>
      </c>
      <c r="F31" s="7" t="s">
        <v>64</v>
      </c>
      <c r="G31" s="7" t="s">
        <v>65</v>
      </c>
      <c r="H31" s="7" t="s">
        <v>107</v>
      </c>
      <c r="I31" s="7">
        <v>612</v>
      </c>
      <c r="J31" s="7" t="s">
        <v>67</v>
      </c>
      <c r="K31" s="7">
        <v>2021</v>
      </c>
      <c r="L31" s="10" t="s">
        <v>18</v>
      </c>
    </row>
    <row r="32" spans="1:12" s="11" customFormat="1" x14ac:dyDescent="0.3">
      <c r="A32" s="7" t="s">
        <v>108</v>
      </c>
      <c r="B32" s="8">
        <v>12.63189</v>
      </c>
      <c r="C32" s="8">
        <v>43.9803</v>
      </c>
      <c r="D32" s="9">
        <v>128100192</v>
      </c>
      <c r="E32" s="7" t="s">
        <v>63</v>
      </c>
      <c r="F32" s="7" t="s">
        <v>109</v>
      </c>
      <c r="G32" s="7" t="s">
        <v>65</v>
      </c>
      <c r="H32" s="7" t="s">
        <v>110</v>
      </c>
      <c r="I32" s="7">
        <v>150000</v>
      </c>
      <c r="J32" s="7" t="s">
        <v>17</v>
      </c>
      <c r="K32" s="7">
        <v>2021</v>
      </c>
      <c r="L32" s="10" t="s">
        <v>18</v>
      </c>
    </row>
    <row r="33" spans="1:12" s="11" customFormat="1" x14ac:dyDescent="0.3">
      <c r="A33" s="7" t="s">
        <v>111</v>
      </c>
      <c r="B33" s="8">
        <v>11.556369999999999</v>
      </c>
      <c r="C33" s="8">
        <v>44.862630000000003</v>
      </c>
      <c r="D33" s="9">
        <v>130183000</v>
      </c>
      <c r="E33" s="7" t="s">
        <v>63</v>
      </c>
      <c r="F33" s="7" t="s">
        <v>109</v>
      </c>
      <c r="G33" s="7" t="s">
        <v>65</v>
      </c>
      <c r="H33" s="7" t="s">
        <v>112</v>
      </c>
      <c r="I33" s="7">
        <v>153333.33333333331</v>
      </c>
      <c r="J33" s="7" t="s">
        <v>17</v>
      </c>
      <c r="K33" s="7">
        <v>2021</v>
      </c>
      <c r="L33" s="10" t="s">
        <v>18</v>
      </c>
    </row>
    <row r="34" spans="1:12" s="11" customFormat="1" x14ac:dyDescent="0.3">
      <c r="A34" s="7" t="s">
        <v>113</v>
      </c>
      <c r="B34" s="8">
        <v>12.08798</v>
      </c>
      <c r="C34" s="8">
        <v>44.234389999999998</v>
      </c>
      <c r="D34" s="9">
        <v>144055000</v>
      </c>
      <c r="E34" s="7" t="s">
        <v>63</v>
      </c>
      <c r="F34" s="7" t="s">
        <v>109</v>
      </c>
      <c r="G34" s="7" t="s">
        <v>65</v>
      </c>
      <c r="H34" s="7" t="s">
        <v>114</v>
      </c>
      <c r="I34" s="7">
        <v>120000</v>
      </c>
      <c r="J34" s="7" t="s">
        <v>17</v>
      </c>
      <c r="K34" s="7">
        <v>2021</v>
      </c>
      <c r="L34" s="10" t="s">
        <v>18</v>
      </c>
    </row>
    <row r="35" spans="1:12" s="11" customFormat="1" x14ac:dyDescent="0.3">
      <c r="A35" s="7" t="s">
        <v>115</v>
      </c>
      <c r="B35" s="8">
        <v>11.428890000000001</v>
      </c>
      <c r="C35" s="8">
        <v>44.522860000000001</v>
      </c>
      <c r="D35" s="9">
        <v>186972000</v>
      </c>
      <c r="E35" s="7" t="s">
        <v>63</v>
      </c>
      <c r="F35" s="7" t="s">
        <v>116</v>
      </c>
      <c r="G35" s="7" t="s">
        <v>65</v>
      </c>
      <c r="H35" s="7" t="s">
        <v>117</v>
      </c>
      <c r="I35" s="7">
        <v>222000</v>
      </c>
      <c r="J35" s="7" t="s">
        <v>17</v>
      </c>
      <c r="K35" s="7">
        <v>2021</v>
      </c>
      <c r="L35" s="10" t="s">
        <v>18</v>
      </c>
    </row>
    <row r="36" spans="1:12" s="11" customFormat="1" x14ac:dyDescent="0.3">
      <c r="A36" s="7" t="s">
        <v>118</v>
      </c>
      <c r="B36" s="8">
        <v>10.943759999999999</v>
      </c>
      <c r="C36" s="8">
        <v>44.676139999999997</v>
      </c>
      <c r="D36" s="9">
        <v>186706873</v>
      </c>
      <c r="E36" s="7" t="s">
        <v>63</v>
      </c>
      <c r="F36" s="7" t="s">
        <v>109</v>
      </c>
      <c r="G36" s="7" t="s">
        <v>65</v>
      </c>
      <c r="H36" s="7" t="s">
        <v>119</v>
      </c>
      <c r="I36" s="7">
        <v>203125</v>
      </c>
      <c r="J36" s="7" t="s">
        <v>17</v>
      </c>
      <c r="K36" s="7">
        <v>2021</v>
      </c>
      <c r="L36" s="10" t="s">
        <v>18</v>
      </c>
    </row>
    <row r="37" spans="1:12" s="11" customFormat="1" x14ac:dyDescent="0.3">
      <c r="A37" s="7" t="s">
        <v>120</v>
      </c>
      <c r="B37" s="8">
        <v>10.35805</v>
      </c>
      <c r="C37" s="8">
        <v>44.856079999999999</v>
      </c>
      <c r="D37" s="9">
        <v>166966760</v>
      </c>
      <c r="E37" s="7" t="s">
        <v>63</v>
      </c>
      <c r="F37" s="7" t="s">
        <v>121</v>
      </c>
      <c r="G37" s="7" t="s">
        <v>122</v>
      </c>
      <c r="H37" s="7" t="s">
        <v>123</v>
      </c>
      <c r="I37" s="7">
        <v>195000</v>
      </c>
      <c r="J37" s="7" t="s">
        <v>17</v>
      </c>
      <c r="K37" s="7">
        <v>2021</v>
      </c>
      <c r="L37" s="10" t="s">
        <v>18</v>
      </c>
    </row>
    <row r="38" spans="1:12" s="11" customFormat="1" x14ac:dyDescent="0.3">
      <c r="A38" s="7" t="s">
        <v>124</v>
      </c>
      <c r="B38" s="8">
        <v>8.7867099999999994</v>
      </c>
      <c r="C38" s="8">
        <v>45.288359999999997</v>
      </c>
      <c r="D38" s="9">
        <v>338516000</v>
      </c>
      <c r="E38" s="7" t="s">
        <v>63</v>
      </c>
      <c r="F38" s="7" t="s">
        <v>125</v>
      </c>
      <c r="G38" s="7" t="s">
        <v>65</v>
      </c>
      <c r="H38" s="7" t="s">
        <v>126</v>
      </c>
      <c r="I38" s="7">
        <v>380000</v>
      </c>
      <c r="J38" s="7" t="s">
        <v>17</v>
      </c>
      <c r="K38" s="7">
        <v>2021</v>
      </c>
      <c r="L38" s="10" t="s">
        <v>18</v>
      </c>
    </row>
    <row r="39" spans="1:12" s="11" customFormat="1" x14ac:dyDescent="0.3">
      <c r="A39" s="7" t="s">
        <v>127</v>
      </c>
      <c r="B39" s="8">
        <v>9.7325099999999996</v>
      </c>
      <c r="C39" s="8">
        <v>45.056750000000001</v>
      </c>
      <c r="D39" s="9">
        <v>123636000</v>
      </c>
      <c r="E39" s="7" t="s">
        <v>63</v>
      </c>
      <c r="F39" s="7" t="s">
        <v>121</v>
      </c>
      <c r="G39" s="7" t="s">
        <v>65</v>
      </c>
      <c r="H39" s="7" t="s">
        <v>49</v>
      </c>
      <c r="I39" s="7">
        <v>120000</v>
      </c>
      <c r="J39" s="7" t="s">
        <v>17</v>
      </c>
      <c r="K39" s="7">
        <v>2021</v>
      </c>
      <c r="L39" s="10" t="s">
        <v>18</v>
      </c>
    </row>
    <row r="42" spans="1:12" x14ac:dyDescent="0.3">
      <c r="A42" s="1" t="s">
        <v>136</v>
      </c>
      <c r="B42" s="13" t="s">
        <v>1</v>
      </c>
      <c r="C42" s="13" t="s">
        <v>2</v>
      </c>
    </row>
    <row r="43" spans="1:12" x14ac:dyDescent="0.3">
      <c r="A43" s="3" t="s">
        <v>137</v>
      </c>
      <c r="B43">
        <v>12.053710000000001</v>
      </c>
      <c r="C43">
        <v>45.776429999999998</v>
      </c>
    </row>
    <row r="44" spans="1:12" x14ac:dyDescent="0.3">
      <c r="A44" s="3" t="s">
        <v>138</v>
      </c>
      <c r="B44">
        <v>11.69642</v>
      </c>
      <c r="C44">
        <v>45.045929999999998</v>
      </c>
    </row>
    <row r="45" spans="1:12" x14ac:dyDescent="0.3">
      <c r="A45" s="3" t="s">
        <v>139</v>
      </c>
      <c r="B45">
        <v>10.748810000000001</v>
      </c>
      <c r="C45">
        <v>44.574620000000003</v>
      </c>
    </row>
    <row r="46" spans="1:12" x14ac:dyDescent="0.3">
      <c r="A46" s="3" t="s">
        <v>140</v>
      </c>
      <c r="B46">
        <v>9.0727600000000006</v>
      </c>
      <c r="C46">
        <v>45.809109999999997</v>
      </c>
    </row>
    <row r="47" spans="1:12" x14ac:dyDescent="0.3">
      <c r="A47" s="3" t="s">
        <v>141</v>
      </c>
      <c r="B47">
        <v>8.2941000000000003</v>
      </c>
      <c r="C47">
        <v>45.19014</v>
      </c>
    </row>
    <row r="48" spans="1:12" x14ac:dyDescent="0.3">
      <c r="A48" s="3" t="s">
        <v>142</v>
      </c>
      <c r="B48">
        <v>8.3271999999999995</v>
      </c>
      <c r="C48">
        <v>46.002490000000002</v>
      </c>
    </row>
    <row r="49" spans="1:3" x14ac:dyDescent="0.3">
      <c r="A49" s="3" t="s">
        <v>143</v>
      </c>
      <c r="B49">
        <v>8.6266800000000003</v>
      </c>
      <c r="C49">
        <v>45.452460000000002</v>
      </c>
    </row>
    <row r="50" spans="1:3" x14ac:dyDescent="0.3">
      <c r="A50" s="3" t="s">
        <v>144</v>
      </c>
      <c r="B50">
        <v>8.4164499999999993</v>
      </c>
      <c r="C50">
        <v>45.329839999999997</v>
      </c>
    </row>
    <row r="51" spans="1:3" x14ac:dyDescent="0.3">
      <c r="A51" s="3" t="s">
        <v>145</v>
      </c>
      <c r="B51">
        <v>9.1895100000000003</v>
      </c>
      <c r="C51">
        <v>45.464269999999999</v>
      </c>
    </row>
    <row r="52" spans="1:3" x14ac:dyDescent="0.3">
      <c r="A52" s="3" t="s">
        <v>146</v>
      </c>
      <c r="B52">
        <v>7.6868600000000002</v>
      </c>
      <c r="C52">
        <v>45.070340000000002</v>
      </c>
    </row>
    <row r="53" spans="1:3" x14ac:dyDescent="0.3">
      <c r="A53" s="3" t="s">
        <v>147</v>
      </c>
      <c r="B53">
        <v>8.9330499999999997</v>
      </c>
      <c r="C53">
        <v>44.405650000000001</v>
      </c>
    </row>
    <row r="54" spans="1:3" x14ac:dyDescent="0.3">
      <c r="A54" s="3" t="s">
        <v>148</v>
      </c>
      <c r="B54">
        <v>10.991619999999999</v>
      </c>
      <c r="C54">
        <v>45.438470000000002</v>
      </c>
    </row>
    <row r="55" spans="1:3" x14ac:dyDescent="0.3">
      <c r="A55" s="3" t="s">
        <v>149</v>
      </c>
      <c r="B55">
        <v>11.338749999999999</v>
      </c>
      <c r="C55">
        <v>44.493670000000002</v>
      </c>
    </row>
    <row r="56" spans="1:3" x14ac:dyDescent="0.3">
      <c r="A56" s="3" t="s">
        <v>150</v>
      </c>
      <c r="B56">
        <v>13.77692</v>
      </c>
      <c r="C56">
        <v>45.649509999999999</v>
      </c>
    </row>
    <row r="57" spans="1:3" x14ac:dyDescent="0.3">
      <c r="A57" s="3" t="s">
        <v>151</v>
      </c>
      <c r="B57">
        <v>12.31551</v>
      </c>
      <c r="C57">
        <v>45.440840000000001</v>
      </c>
    </row>
    <row r="58" spans="1:3" x14ac:dyDescent="0.3">
      <c r="A58" s="3" t="s">
        <v>153</v>
      </c>
      <c r="B58" s="4">
        <v>9.2864500000000003</v>
      </c>
      <c r="C58" s="4">
        <v>45.391199999999998</v>
      </c>
    </row>
  </sheetData>
  <hyperlinks>
    <hyperlink ref="L2" r:id="rId1" xr:uid="{6699C9A5-9FEF-004F-9FD6-478C3D5C5F9F}"/>
    <hyperlink ref="L3:L5" r:id="rId2" display="https://industry.eea.europa.eu/" xr:uid="{6437A90D-671B-4445-AA68-65EB691F711A}"/>
    <hyperlink ref="L6:L9" r:id="rId3" display="https://industry.eea.europa.eu/" xr:uid="{EAD35533-432A-0D45-BB78-580166638839}"/>
    <hyperlink ref="L10:L14" r:id="rId4" display="https://industry.eea.europa.eu/" xr:uid="{A5D86CE6-3BBC-574D-B4AA-1156985C36CC}"/>
    <hyperlink ref="L15:L17" r:id="rId5" display="https://industry.eea.europa.eu/" xr:uid="{6F839753-7ED6-CB4F-824F-BDC7DDEBAE2F}"/>
    <hyperlink ref="L18" r:id="rId6" xr:uid="{17C76582-3271-EE41-A4E6-1BF5F6E8CF11}"/>
    <hyperlink ref="L21" r:id="rId7" xr:uid="{5D701E52-61BD-884E-B131-0380AF81B1FD}"/>
    <hyperlink ref="L24" r:id="rId8" xr:uid="{C5E87C88-2276-3F4C-9EB5-FC1703F2A030}"/>
    <hyperlink ref="L25" r:id="rId9" xr:uid="{8AB471AE-E68D-7B4E-9F5C-B5165F103D7D}"/>
    <hyperlink ref="L27" r:id="rId10" xr:uid="{23AD181C-96F2-CF47-8260-DF1996B79325}"/>
    <hyperlink ref="L29" r:id="rId11" xr:uid="{E5225E80-BEA8-A04F-9597-FC5CFD2E21AB}"/>
    <hyperlink ref="L30:L39" r:id="rId12" display="https://industry.eea.europa.eu/" xr:uid="{27B620B8-E5D2-9B40-A23C-A8FE42054860}"/>
    <hyperlink ref="L4" r:id="rId13" xr:uid="{0BB781AC-294C-8446-966C-6D5DE3808F3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321C0-35EE-B04E-B238-A9CD5D9723CA}">
  <dimension ref="A1"/>
  <sheetViews>
    <sheetView workbookViewId="0"/>
  </sheetViews>
  <sheetFormatPr defaultColWidth="11.19921875"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nodes</vt:lpstr>
      <vt:lpstr>truck</vt:lpstr>
      <vt:lpstr>pipeline</vt:lpstr>
      <vt:lpstr>railway</vt:lpstr>
      <vt:lpstr>raw_data</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Bertoni, L. (Luca)</cp:lastModifiedBy>
  <dcterms:created xsi:type="dcterms:W3CDTF">2025-08-26T13:19:55Z</dcterms:created>
  <dcterms:modified xsi:type="dcterms:W3CDTF">2025-10-06T10:04:10Z</dcterms:modified>
</cp:coreProperties>
</file>