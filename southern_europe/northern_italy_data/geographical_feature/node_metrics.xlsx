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mockp\PycharmProjects\AdOpT-NET0_XiaoY\southern_europe\northern_italy_data\geographical_feature\"/>
    </mc:Choice>
  </mc:AlternateContent>
  <xr:revisionPtr revIDLastSave="0" documentId="13_ncr:1_{DEF4CB6A-FD51-4FFE-A6FC-62493604B417}" xr6:coauthVersionLast="47" xr6:coauthVersionMax="47" xr10:uidLastSave="{00000000-0000-0000-0000-000000000000}"/>
  <bookViews>
    <workbookView xWindow="-5295" yWindow="-21720" windowWidth="38640" windowHeight="21120" xr2:uid="{91043432-DB94-1942-B1A7-90AE2913C3A6}"/>
  </bookViews>
  <sheets>
    <sheet name="nodes" sheetId="1" r:id="rId1"/>
    <sheet name="truck" sheetId="6" r:id="rId2"/>
    <sheet name="pipeline" sheetId="2" r:id="rId3"/>
    <sheet name="railway" sheetId="3" r:id="rId4"/>
    <sheet name="raw_data" sheetId="4" r:id="rId5"/>
  </sheets>
  <externalReferences>
    <externalReference r:id="rId6"/>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 i="4" l="1"/>
  <c r="B44" i="4"/>
  <c r="G12" i="1"/>
  <c r="G3" i="1"/>
  <c r="G8" i="1"/>
</calcChain>
</file>

<file path=xl/sharedStrings.xml><?xml version="1.0" encoding="utf-8"?>
<sst xmlns="http://schemas.openxmlformats.org/spreadsheetml/2006/main" count="356" uniqueCount="186">
  <si>
    <t>Source</t>
  </si>
  <si>
    <t>MONSELICE cement plant</t>
  </si>
  <si>
    <t>Cement</t>
  </si>
  <si>
    <t>BUZZI UNICEM S.p.A.</t>
  </si>
  <si>
    <t>Installations for the production of cement clinker in rotary kilns</t>
  </si>
  <si>
    <t>MONSELICE</t>
  </si>
  <si>
    <t>ton/year</t>
  </si>
  <si>
    <t>https://industry.eea.europa.eu/</t>
  </si>
  <si>
    <t>Cementirossi - Cementeria di Pederobba</t>
  </si>
  <si>
    <t>INDUSTRIA CEMENTI GIOVANNI ROSSI S.p.A.</t>
  </si>
  <si>
    <t>PEDEROBBA</t>
  </si>
  <si>
    <t>STABILIMENTO DI PONTE DELLA PRIULA</t>
  </si>
  <si>
    <t>SUPERBETON S.p.A.</t>
  </si>
  <si>
    <t>SUSEGANA</t>
  </si>
  <si>
    <t>-</t>
  </si>
  <si>
    <t>ROBILANTE cement plant</t>
  </si>
  <si>
    <t>Installationsfortheproductionofcementclinkerinrotarykilns,limeinrotarykilns,cementorlimeinotherfurnaces.Notetoreporters,useLevel3activitye.g.3(c)(i),inpreferenceto3(c).Level2activityclass(i.e.3(c))onlytobeusedwhereLevel3isnotavailable.</t>
  </si>
  <si>
    <t>ROBILANTE</t>
  </si>
  <si>
    <t>Stabilimento di Tavernola Bergamasca</t>
  </si>
  <si>
    <t>Italsacci</t>
  </si>
  <si>
    <t>Cement production</t>
  </si>
  <si>
    <t>BERGAMO</t>
  </si>
  <si>
    <t>Italcementi Calusco D'Adda</t>
  </si>
  <si>
    <t>ITALCEMENTI S.p.A.</t>
  </si>
  <si>
    <t>CALUSCOD'ADDA</t>
  </si>
  <si>
    <t>Colacem - Stabilimento di Caravate</t>
  </si>
  <si>
    <t>COLACEM S.P.A.</t>
  </si>
  <si>
    <t>CARAVATE</t>
  </si>
  <si>
    <t>Italcementi di Rezzato</t>
  </si>
  <si>
    <t>REZZATO</t>
  </si>
  <si>
    <t>SACCI S.p.A.</t>
  </si>
  <si>
    <t>TAVERNOLABERGAMASCA</t>
  </si>
  <si>
    <t>Holcim (Italia) S.p.A.-unità produttiva di Ternate</t>
  </si>
  <si>
    <t>Holcim S.p.A.</t>
  </si>
  <si>
    <t>TERNATE</t>
  </si>
  <si>
    <t>FANNA cement plant</t>
  </si>
  <si>
    <t>FANNA</t>
  </si>
  <si>
    <t>Cementirossi - Cementeria di Piacenza</t>
  </si>
  <si>
    <t>PIACENZA</t>
  </si>
  <si>
    <t>VERNASCA cement plant</t>
  </si>
  <si>
    <t>VERNASCA</t>
  </si>
  <si>
    <t>RAFFINERIA SARPOM DI TRECATE</t>
  </si>
  <si>
    <t>Refining</t>
  </si>
  <si>
    <t>Mineral oil and gas refineries</t>
  </si>
  <si>
    <t>TRECATE</t>
  </si>
  <si>
    <t>RAFFINERIA DI SANNAZZARO DE' BURGONDI</t>
  </si>
  <si>
    <t>Eni S.p.A.</t>
  </si>
  <si>
    <t>SANNAZZARO DE' BURGONDI</t>
  </si>
  <si>
    <t>Iplom S.p.A - Raffineria di Busalla</t>
  </si>
  <si>
    <t>Iplom S.p.A.</t>
  </si>
  <si>
    <t>BUSALLA</t>
  </si>
  <si>
    <t>Impianto di Termovalorizzazione di San Lazzaro (PD)</t>
  </si>
  <si>
    <t>Waste</t>
  </si>
  <si>
    <t>Herambiente</t>
  </si>
  <si>
    <t>Installations for the incineration of non-hazardous waste in the scope of Directive 2000/76/EC of the European Parliament and of the Council of 4 December 2000 on the incineration of waste</t>
  </si>
  <si>
    <t>PADOVA</t>
  </si>
  <si>
    <t>ton/day</t>
  </si>
  <si>
    <t>TERMOVALORIZZAOTRE DI VERONA</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</si>
  <si>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</si>
  <si>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</si>
  <si>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</si>
  <si>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</si>
  <si>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TERMOVALORIZZATORE DI BOLZANO</t>
  </si>
  <si>
    <t>Eco center S.p.A.</t>
  </si>
  <si>
    <t>BOLZANO</t>
  </si>
  <si>
    <t>TRM - TERMOVALORIZZATORE DEL GERBIDO</t>
  </si>
  <si>
    <t>TRM S.p.A. (Iren group)</t>
  </si>
  <si>
    <t>TORINO</t>
  </si>
  <si>
    <t>TERMOVALORIZZATORE DI BRESCIA</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</si>
  <si>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</si>
  <si>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</si>
  <si>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</si>
  <si>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TERMOVALORIZZATORE BUSTO ARSIZIO</t>
  </si>
  <si>
    <t>Associazione Consortile dei Comuni dell'Alto Milanese</t>
  </si>
  <si>
    <t>BUSTO ARSIZIO</t>
  </si>
  <si>
    <t>TERMOVALORIZZATORE COMO</t>
  </si>
  <si>
    <t>Acinque S.r.l.</t>
  </si>
  <si>
    <t>COMO</t>
  </si>
  <si>
    <t>Termovalorizzatore di Dalmine</t>
  </si>
  <si>
    <t>REA Dalmine SpA</t>
  </si>
  <si>
    <t>DALMINE</t>
  </si>
  <si>
    <t>TERMOVALORIZZATORE DI DESIO</t>
  </si>
  <si>
    <t>Brianza Energia Ambiente S.p.A.</t>
  </si>
  <si>
    <t>DESIO</t>
  </si>
  <si>
    <t>SILLA 2</t>
  </si>
  <si>
    <t>MILANO</t>
  </si>
  <si>
    <t>TERMOVALORIZZATORE DI CORTEOLONA E GENZONE</t>
  </si>
  <si>
    <t>trattamenti RSU per produzione  CCS per termovalorizzatore</t>
  </si>
  <si>
    <t>PAVIA</t>
  </si>
  <si>
    <t>TermoTrezzo</t>
  </si>
  <si>
    <t>PRIMA s.r.l.</t>
  </si>
  <si>
    <t>TREZZO SULL'ADDA</t>
  </si>
  <si>
    <t>Impianto di termovalorizzazione di Valmadrera</t>
  </si>
  <si>
    <t>Silea S.p.a.</t>
  </si>
  <si>
    <t>VALMADRERA</t>
  </si>
  <si>
    <t>Impianto di Termovalorizzazione Rifiuti di Trieste</t>
  </si>
  <si>
    <t>TRIESTE</t>
  </si>
  <si>
    <t>Termovalorizzatore di Rimini</t>
  </si>
  <si>
    <t>HERAMBIENTE s.p.a</t>
  </si>
  <si>
    <t>CORIANO</t>
  </si>
  <si>
    <t>HERAMBIENTE Spa -Termovalorizzatore</t>
  </si>
  <si>
    <t>FERRARA</t>
  </si>
  <si>
    <t>HERAMBIENTE - 3^ LINEA</t>
  </si>
  <si>
    <t>FORLI'</t>
  </si>
  <si>
    <t>FRULLO ENERGIA AMBIENTE S.R.L.</t>
  </si>
  <si>
    <t>Fea S.r.l.</t>
  </si>
  <si>
    <t>GRANAROLO DELL'EMILIA</t>
  </si>
  <si>
    <t>HERAMBIENTE S.R.L.  - IMPIANTO DI TERMOVALORIZZAZIONE RIFIUTI NON PERICOLOSI</t>
  </si>
  <si>
    <t>MODENA</t>
  </si>
  <si>
    <t>TERMOVALORIZZATORE - PAIP</t>
  </si>
  <si>
    <t>IREN</t>
  </si>
  <si>
    <t>Installations for the disposal of non-hazardous waste</t>
  </si>
  <si>
    <t>PARMA</t>
  </si>
  <si>
    <t>LOMELLINA ENERGIA</t>
  </si>
  <si>
    <t>Lomellina Energia S.r.l.</t>
  </si>
  <si>
    <t>Parona</t>
  </si>
  <si>
    <t>IREN AMBIENTE S.p.A. (CENTRO STOCCAGGIO E TRATTAMENTO RIFIUTI)</t>
  </si>
  <si>
    <t>C1</t>
  </si>
  <si>
    <t>R1</t>
  </si>
  <si>
    <t>C2</t>
  </si>
  <si>
    <t>W1</t>
  </si>
  <si>
    <t>R2</t>
  </si>
  <si>
    <t>C3</t>
  </si>
  <si>
    <t>W2</t>
  </si>
  <si>
    <t>C4</t>
  </si>
  <si>
    <t>C5</t>
  </si>
  <si>
    <t>W3</t>
  </si>
  <si>
    <t>W4</t>
  </si>
  <si>
    <t>R3</t>
  </si>
  <si>
    <t>W5</t>
  </si>
  <si>
    <t>Facility name</t>
  </si>
  <si>
    <t>Longitude</t>
  </si>
  <si>
    <t>Latitude</t>
  </si>
  <si>
    <t>Yearly CO2 emissions [kg/year]</t>
  </si>
  <si>
    <t>Sector</t>
  </si>
  <si>
    <t>Owner</t>
  </si>
  <si>
    <t>Activity</t>
  </si>
  <si>
    <t>City</t>
  </si>
  <si>
    <t>Production capacity</t>
  </si>
  <si>
    <t>Production capacity u.m.</t>
  </si>
  <si>
    <t>Reference year</t>
  </si>
  <si>
    <t>Note</t>
  </si>
  <si>
    <t>longitude</t>
  </si>
  <si>
    <t>latitude</t>
  </si>
  <si>
    <t>annual_flux</t>
  </si>
  <si>
    <t>node_id</t>
  </si>
  <si>
    <t>node_name</t>
  </si>
  <si>
    <t>W6</t>
  </si>
  <si>
    <t>C6</t>
  </si>
  <si>
    <t>C7</t>
  </si>
  <si>
    <t>C8</t>
  </si>
  <si>
    <t>C9</t>
  </si>
  <si>
    <t>C10</t>
  </si>
  <si>
    <t>C11</t>
  </si>
  <si>
    <t>W7</t>
  </si>
  <si>
    <t>W8</t>
  </si>
  <si>
    <t>W9</t>
  </si>
  <si>
    <t>W10</t>
  </si>
  <si>
    <t>W11</t>
  </si>
  <si>
    <t>W12</t>
  </si>
  <si>
    <t>W13</t>
  </si>
  <si>
    <t>W14</t>
  </si>
  <si>
    <t>W15</t>
  </si>
  <si>
    <t>C12</t>
  </si>
  <si>
    <t>W16</t>
  </si>
  <si>
    <t>C13</t>
  </si>
  <si>
    <t>W17</t>
  </si>
  <si>
    <t>W18</t>
  </si>
  <si>
    <t>W19</t>
  </si>
  <si>
    <t>W20</t>
  </si>
  <si>
    <t>W21</t>
  </si>
  <si>
    <t>W22</t>
  </si>
  <si>
    <t>S.Giuliano Milanese</t>
  </si>
  <si>
    <t>Transport</t>
  </si>
  <si>
    <t>node_type</t>
  </si>
  <si>
    <t>Piacenza</t>
  </si>
  <si>
    <t>Porto Corsini</t>
  </si>
  <si>
    <t>Storage</t>
  </si>
  <si>
    <t>Ravenna</t>
  </si>
  <si>
    <t>Reference Year</t>
  </si>
  <si>
    <t>CO2 intensity of electricity (g/kWh)</t>
  </si>
  <si>
    <t>altitude</t>
  </si>
  <si>
    <t>computed_annual_flux</t>
  </si>
  <si>
    <t>OPEX variable Railway</t>
  </si>
  <si>
    <t>OPEX vairable Truck</t>
  </si>
  <si>
    <t>Eni S.p.A Casalborsetti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</si>
</sst>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0.00_);_(* \(#,##0.00\);_(* &quot;-&quot;??_);_(@_)"/>
    <numFmt numFmtId="165" formatCode="0.0000"/>
    <numFmt numFmtId="166" formatCode="_(* #,##0_);_(* \(#,##0\);_(* &quot;-&quot;??_);_(@_)"/>
    <numFmt numFmtId="167" formatCode="0.0"/>
    <numFmt numFmtId="168" formatCode="0.00000000"/>
  </numFmts>
  <fonts count="6" x14ac:knownFonts="1">
    <font>
      <sz val="12"/>
      <color theme="1"/>
      <name val="Aptos Narrow"/>
      <family val="2"/>
      <scheme val="minor"/>
    </font>
    <font>
      <sz val="12"/>
      <color theme="1"/>
      <name val="Aptos Narrow"/>
      <family val="2"/>
      <scheme val="minor"/>
    </font>
    <font>
      <u/>
      <sz val="12"/>
      <color theme="10"/>
      <name val="Aptos Narrow"/>
      <family val="2"/>
      <scheme val="minor"/>
    </font>
    <font>
      <b/>
      <sz val="12"/>
      <color theme="1"/>
      <name val="Calibri"/>
      <family val="2"/>
    </font>
    <font>
      <sz val="12"/>
      <color theme="1"/>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style="thin">
        <color indexed="64"/>
      </right>
      <top/>
      <bottom/>
      <diagonal/>
    </border>
  </borders>
  <cellStyleXfs count="3">
    <xf numFmtId="0" fontId="0" fillId="0" borderId="0"/>
    <xf numFmtId="164" fontId="1" fillId="0" borderId="0" applyFont="0" applyFill="0" applyBorder="0" applyAlignment="0" applyProtection="0"/>
    <xf numFmtId="0" fontId="2" fillId="0" borderId="0" applyNumberFormat="0" applyFill="0" applyBorder="0" applyAlignment="0" applyProtection="0"/>
  </cellStyleXfs>
  <cellXfs count="25">
    <xf numFmtId="0" fontId="0" fillId="0" borderId="0" xfId="0"/>
    <xf numFmtId="0" fontId="4" fillId="0" borderId="0" xfId="0" applyFont="1"/>
    <xf numFmtId="165" fontId="4" fillId="0" borderId="0" xfId="0" applyNumberFormat="1" applyFont="1"/>
    <xf numFmtId="166" fontId="4" fillId="0" borderId="0" xfId="1" applyNumberFormat="1" applyFont="1"/>
    <xf numFmtId="0" fontId="2" fillId="0" borderId="0" xfId="2"/>
    <xf numFmtId="166" fontId="4" fillId="0" borderId="0" xfId="1" applyNumberFormat="1" applyFont="1" applyFill="1"/>
    <xf numFmtId="0" fontId="2" fillId="0" borderId="0" xfId="2" applyFill="1"/>
    <xf numFmtId="0" fontId="3" fillId="0" borderId="1" xfId="0" applyFont="1" applyBorder="1"/>
    <xf numFmtId="165" fontId="3" fillId="0" borderId="0" xfId="0" applyNumberFormat="1" applyFont="1"/>
    <xf numFmtId="0" fontId="3" fillId="0" borderId="0" xfId="0" applyFont="1"/>
    <xf numFmtId="2" fontId="0" fillId="0" borderId="0" xfId="0" applyNumberFormat="1"/>
    <xf numFmtId="2" fontId="5" fillId="0" borderId="0" xfId="0" applyNumberFormat="1" applyFont="1"/>
    <xf numFmtId="1" fontId="0" fillId="0" borderId="0" xfId="0" applyNumberFormat="1"/>
    <xf numFmtId="1" fontId="5" fillId="0" borderId="0" xfId="0" applyNumberFormat="1" applyFont="1"/>
    <xf numFmtId="2" fontId="4" fillId="0" borderId="0" xfId="0" applyNumberFormat="1" applyFont="1"/>
    <xf numFmtId="1" fontId="4" fillId="0" borderId="0" xfId="0" applyNumberFormat="1" applyFont="1"/>
    <xf numFmtId="0" fontId="4" fillId="2" borderId="0" xfId="0" applyFont="1" applyFill="1"/>
    <xf numFmtId="165" fontId="4" fillId="2" borderId="0" xfId="0" applyNumberFormat="1" applyFont="1" applyFill="1"/>
    <xf numFmtId="166" fontId="4" fillId="2" borderId="0" xfId="1" applyNumberFormat="1" applyFont="1" applyFill="1"/>
    <xf numFmtId="0" fontId="2" fillId="2" borderId="0" xfId="2" applyFill="1"/>
    <xf numFmtId="16" fontId="0" fillId="0" borderId="0" xfId="0" applyNumberFormat="1"/>
    <xf numFmtId="17" fontId="0" fillId="0" borderId="0" xfId="0" applyNumberFormat="1"/>
    <xf numFmtId="167" fontId="4" fillId="0" borderId="0" xfId="0" applyNumberFormat="1" applyFont="1"/>
    <xf numFmtId="167" fontId="0" fillId="0" borderId="0" xfId="0" applyNumberFormat="1"/>
    <xf numFmtId="168" fontId="0" fillId="0" borderId="0" xfId="0" applyNumberForma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Cement-VERNASCA"/>
      <sheetName val="Waste -  PIACENZA Iren"/>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13"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12"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11"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10" Type="http://schemas.openxmlformats.org/officeDocument/2006/relationships/hyperlink" Target="https://industry.eea.europa.eu/" TargetMode="External"/><Relationship Id="rId4" Type="http://schemas.openxmlformats.org/officeDocument/2006/relationships/hyperlink" Target="https://industry.eea.europa.eu/" TargetMode="External"/><Relationship Id="rId9"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0B9E7-7E13-8F43-BF9F-FE6D78B92C55}">
  <dimension ref="A1:L16"/>
  <sheetViews>
    <sheetView tabSelected="1" zoomScale="110" workbookViewId="0">
      <selection activeCell="H15" sqref="H15"/>
    </sheetView>
  </sheetViews>
  <sheetFormatPr defaultColWidth="11" defaultRowHeight="15.75" x14ac:dyDescent="0.25"/>
  <cols>
    <col min="2" max="2" width="33.875" customWidth="1"/>
    <col min="3" max="4" width="10.875" style="10"/>
    <col min="5" max="5" width="10.875" style="12"/>
    <col min="6" max="6" width="16" style="12" customWidth="1"/>
    <col min="7" max="7" width="20" style="12" customWidth="1"/>
    <col min="9" max="9" width="13.125" style="23" bestFit="1" customWidth="1"/>
    <col min="10" max="10" width="11.125" bestFit="1" customWidth="1"/>
    <col min="11" max="11" width="14.125" customWidth="1"/>
    <col min="12" max="12" width="11.125" bestFit="1" customWidth="1"/>
  </cols>
  <sheetData>
    <row r="1" spans="1:12" x14ac:dyDescent="0.25">
      <c r="A1" s="1" t="s">
        <v>145</v>
      </c>
      <c r="B1" s="1" t="s">
        <v>146</v>
      </c>
      <c r="C1" s="14" t="s">
        <v>142</v>
      </c>
      <c r="D1" s="14" t="s">
        <v>143</v>
      </c>
      <c r="E1" s="15" t="s">
        <v>181</v>
      </c>
      <c r="F1" s="15" t="s">
        <v>144</v>
      </c>
      <c r="G1" s="15" t="s">
        <v>182</v>
      </c>
      <c r="H1" s="1" t="s">
        <v>174</v>
      </c>
      <c r="I1" s="22"/>
      <c r="J1" s="15"/>
      <c r="K1" s="15"/>
    </row>
    <row r="2" spans="1:12" x14ac:dyDescent="0.25">
      <c r="A2" s="1">
        <v>1</v>
      </c>
      <c r="B2" s="1" t="s">
        <v>113</v>
      </c>
      <c r="C2" s="11">
        <v>8.7866999999999997</v>
      </c>
      <c r="D2" s="11">
        <v>45.288400000000003</v>
      </c>
      <c r="E2" s="13">
        <v>10</v>
      </c>
      <c r="F2" s="13">
        <v>338516000</v>
      </c>
      <c r="G2" s="13"/>
      <c r="H2" s="1" t="s">
        <v>52</v>
      </c>
      <c r="K2" s="23"/>
    </row>
    <row r="3" spans="1:12" x14ac:dyDescent="0.25">
      <c r="A3" s="1">
        <v>2</v>
      </c>
      <c r="B3" s="1" t="s">
        <v>84</v>
      </c>
      <c r="C3" s="14">
        <v>9.0725599999999993</v>
      </c>
      <c r="D3" s="14">
        <v>45.504100000000001</v>
      </c>
      <c r="E3" s="13">
        <v>10</v>
      </c>
      <c r="F3" s="15">
        <v>323606842</v>
      </c>
      <c r="G3" s="15">
        <f>SUM('[1]Waste - SILLA 2'!$C$3:$C$8761)*1000</f>
        <v>743619528.96172464</v>
      </c>
      <c r="H3" s="1" t="s">
        <v>52</v>
      </c>
      <c r="I3" s="10"/>
      <c r="J3" s="12"/>
    </row>
    <row r="4" spans="1:12" x14ac:dyDescent="0.25">
      <c r="A4" s="1">
        <v>3</v>
      </c>
      <c r="B4" s="1" t="s">
        <v>89</v>
      </c>
      <c r="C4" s="14">
        <v>9.2457799999999999</v>
      </c>
      <c r="D4" s="14">
        <v>45.536929999999998</v>
      </c>
      <c r="E4" s="13">
        <v>10</v>
      </c>
      <c r="F4" s="15">
        <v>223853000</v>
      </c>
      <c r="G4" s="15"/>
      <c r="H4" s="1" t="s">
        <v>52</v>
      </c>
    </row>
    <row r="5" spans="1:12" x14ac:dyDescent="0.25">
      <c r="A5" s="1">
        <v>4</v>
      </c>
      <c r="B5" s="1" t="s">
        <v>22</v>
      </c>
      <c r="C5" s="14">
        <v>9.4682999999999993</v>
      </c>
      <c r="D5" s="14">
        <v>45.68723</v>
      </c>
      <c r="E5" s="13">
        <v>10</v>
      </c>
      <c r="F5" s="15">
        <v>790120000</v>
      </c>
      <c r="G5" s="15"/>
      <c r="H5" s="1" t="s">
        <v>52</v>
      </c>
    </row>
    <row r="6" spans="1:12" x14ac:dyDescent="0.25">
      <c r="A6" s="1">
        <v>5</v>
      </c>
      <c r="B6" s="1" t="s">
        <v>68</v>
      </c>
      <c r="C6" s="14">
        <v>10.20872</v>
      </c>
      <c r="D6" s="14">
        <v>45.51314</v>
      </c>
      <c r="E6" s="13">
        <v>10</v>
      </c>
      <c r="F6" s="15">
        <v>867256250</v>
      </c>
      <c r="G6" s="15"/>
      <c r="H6" s="1" t="s">
        <v>52</v>
      </c>
    </row>
    <row r="7" spans="1:12" x14ac:dyDescent="0.25">
      <c r="A7" s="1">
        <v>6</v>
      </c>
      <c r="B7" s="1" t="s">
        <v>28</v>
      </c>
      <c r="C7" s="14">
        <v>10.341900000000001</v>
      </c>
      <c r="D7" s="14">
        <v>45.516039999999997</v>
      </c>
      <c r="E7" s="13">
        <v>10</v>
      </c>
      <c r="F7" s="15">
        <v>918742000</v>
      </c>
      <c r="G7" s="15"/>
      <c r="H7" s="1" t="s">
        <v>52</v>
      </c>
    </row>
    <row r="8" spans="1:12" x14ac:dyDescent="0.25">
      <c r="A8" s="1">
        <v>7</v>
      </c>
      <c r="B8" s="1" t="s">
        <v>39</v>
      </c>
      <c r="C8" s="14">
        <v>9.8099799999999995</v>
      </c>
      <c r="D8" s="14">
        <v>44.793680000000002</v>
      </c>
      <c r="E8" s="13">
        <v>10</v>
      </c>
      <c r="F8" s="15">
        <v>587138470</v>
      </c>
      <c r="G8" s="15">
        <f>SUM('[1]Cement-VERNASCA'!$C$3:$C$367)*1000</f>
        <v>587138469.99999881</v>
      </c>
      <c r="H8" s="1" t="s">
        <v>52</v>
      </c>
      <c r="J8" s="12"/>
      <c r="K8" s="10"/>
    </row>
    <row r="9" spans="1:12" x14ac:dyDescent="0.25">
      <c r="A9" s="1">
        <v>8</v>
      </c>
      <c r="B9" s="1" t="s">
        <v>100</v>
      </c>
      <c r="C9" s="14">
        <v>11.556369999999999</v>
      </c>
      <c r="D9" s="14">
        <v>44.862630000000003</v>
      </c>
      <c r="E9" s="13">
        <v>10</v>
      </c>
      <c r="F9" s="15">
        <v>130183000</v>
      </c>
      <c r="G9" s="15"/>
      <c r="H9" s="1" t="s">
        <v>52</v>
      </c>
      <c r="L9" s="12"/>
    </row>
    <row r="10" spans="1:12" x14ac:dyDescent="0.25">
      <c r="A10" s="1">
        <v>9</v>
      </c>
      <c r="B10" s="1" t="s">
        <v>104</v>
      </c>
      <c r="C10" s="14">
        <v>11.428890000000001</v>
      </c>
      <c r="D10" s="14">
        <v>44.522860000000001</v>
      </c>
      <c r="E10" s="13">
        <v>10</v>
      </c>
      <c r="F10" s="15">
        <v>186972000</v>
      </c>
      <c r="G10" s="15"/>
      <c r="H10" s="1" t="s">
        <v>52</v>
      </c>
      <c r="J10" s="12"/>
    </row>
    <row r="11" spans="1:12" x14ac:dyDescent="0.25">
      <c r="A11" s="1">
        <v>10</v>
      </c>
      <c r="B11" s="1" t="s">
        <v>172</v>
      </c>
      <c r="C11" s="14">
        <v>9.2864500000000003</v>
      </c>
      <c r="D11" s="14">
        <v>45.391199999999998</v>
      </c>
      <c r="E11" s="13">
        <v>10</v>
      </c>
      <c r="F11" s="15">
        <v>0</v>
      </c>
      <c r="G11" s="15"/>
      <c r="H11" s="1" t="s">
        <v>173</v>
      </c>
    </row>
    <row r="12" spans="1:12" x14ac:dyDescent="0.25">
      <c r="A12" s="1">
        <v>11</v>
      </c>
      <c r="B12" s="1" t="s">
        <v>175</v>
      </c>
      <c r="C12" s="14">
        <v>9.7038200000000003</v>
      </c>
      <c r="D12" s="14">
        <v>45.057380000000002</v>
      </c>
      <c r="E12" s="13">
        <v>10</v>
      </c>
      <c r="F12" s="15">
        <v>123636000</v>
      </c>
      <c r="G12" s="15">
        <f>SUM('[1]Waste -  PIACENZA Iren'!$C$3:$C$8762)*1000</f>
        <v>111514716.52493508</v>
      </c>
      <c r="H12" s="1" t="s">
        <v>52</v>
      </c>
      <c r="I12" s="10"/>
    </row>
    <row r="13" spans="1:12" x14ac:dyDescent="0.25">
      <c r="A13" s="1">
        <v>11</v>
      </c>
      <c r="B13" s="1" t="s">
        <v>175</v>
      </c>
      <c r="C13" s="14">
        <v>9.7038200000000003</v>
      </c>
      <c r="D13" s="14">
        <v>45.057380000000002</v>
      </c>
      <c r="E13" s="13">
        <v>10</v>
      </c>
      <c r="F13" s="15">
        <v>405887000</v>
      </c>
      <c r="G13" s="15"/>
      <c r="H13" s="1" t="s">
        <v>52</v>
      </c>
    </row>
    <row r="14" spans="1:12" x14ac:dyDescent="0.25">
      <c r="A14" s="1">
        <v>12</v>
      </c>
      <c r="B14" s="1" t="s">
        <v>178</v>
      </c>
      <c r="C14" s="14">
        <v>12.2</v>
      </c>
      <c r="D14" s="14">
        <v>44.41</v>
      </c>
      <c r="E14" s="13">
        <v>10</v>
      </c>
      <c r="F14" s="15">
        <v>500000000</v>
      </c>
      <c r="G14" s="15"/>
      <c r="H14" s="1" t="s">
        <v>52</v>
      </c>
    </row>
    <row r="15" spans="1:12" x14ac:dyDescent="0.25">
      <c r="A15" s="1">
        <v>13</v>
      </c>
      <c r="B15" s="1" t="s">
        <v>185</v>
      </c>
      <c r="C15" s="14">
        <v>12.274480000000001</v>
      </c>
      <c r="D15" s="14">
        <v>44.560099999999998</v>
      </c>
      <c r="E15" s="13">
        <v>10</v>
      </c>
      <c r="F15" s="15">
        <v>0</v>
      </c>
      <c r="G15" s="15"/>
      <c r="H15" s="1" t="s">
        <v>173</v>
      </c>
    </row>
    <row r="16" spans="1:12" x14ac:dyDescent="0.25">
      <c r="A16" s="1">
        <v>14</v>
      </c>
      <c r="B16" s="1" t="s">
        <v>176</v>
      </c>
      <c r="C16" s="10">
        <v>12.564</v>
      </c>
      <c r="D16" s="10">
        <v>44.387</v>
      </c>
      <c r="E16" s="13">
        <v>10</v>
      </c>
      <c r="F16" s="12">
        <v>0</v>
      </c>
      <c r="H16" s="1" t="s">
        <v>177</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1543B-3E95-394F-A2EC-6819CE741BF8}">
  <dimension ref="A1:O46"/>
  <sheetViews>
    <sheetView workbookViewId="0">
      <selection activeCell="I12" sqref="I12"/>
    </sheetView>
  </sheetViews>
  <sheetFormatPr defaultColWidth="11" defaultRowHeight="15.75" x14ac:dyDescent="0.25"/>
  <sheetData>
    <row r="1" spans="1:15" x14ac:dyDescent="0.25">
      <c r="B1">
        <v>1</v>
      </c>
      <c r="C1">
        <v>2</v>
      </c>
      <c r="D1">
        <v>3</v>
      </c>
      <c r="E1">
        <v>4</v>
      </c>
      <c r="F1">
        <v>5</v>
      </c>
      <c r="G1">
        <v>6</v>
      </c>
      <c r="H1">
        <v>7</v>
      </c>
      <c r="I1">
        <v>8</v>
      </c>
      <c r="J1">
        <v>9</v>
      </c>
      <c r="K1">
        <v>10</v>
      </c>
      <c r="L1">
        <v>11</v>
      </c>
      <c r="M1">
        <v>12</v>
      </c>
      <c r="N1">
        <v>13</v>
      </c>
      <c r="O1">
        <v>14</v>
      </c>
    </row>
    <row r="2" spans="1:15" x14ac:dyDescent="0.25">
      <c r="A2">
        <v>1</v>
      </c>
      <c r="B2">
        <v>0</v>
      </c>
      <c r="C2">
        <v>39.46</v>
      </c>
      <c r="D2">
        <v>0</v>
      </c>
      <c r="E2">
        <v>0</v>
      </c>
      <c r="F2">
        <v>0</v>
      </c>
      <c r="G2">
        <v>0</v>
      </c>
      <c r="H2">
        <v>0</v>
      </c>
      <c r="I2">
        <v>0</v>
      </c>
      <c r="J2">
        <v>0</v>
      </c>
      <c r="K2">
        <v>49.08</v>
      </c>
      <c r="L2">
        <v>92.96</v>
      </c>
      <c r="M2">
        <v>0</v>
      </c>
      <c r="N2">
        <v>0</v>
      </c>
      <c r="O2">
        <v>0</v>
      </c>
    </row>
    <row r="3" spans="1:15" x14ac:dyDescent="0.25">
      <c r="A3">
        <v>2</v>
      </c>
      <c r="B3">
        <v>39.46</v>
      </c>
      <c r="C3">
        <v>0</v>
      </c>
      <c r="D3">
        <v>18.25</v>
      </c>
      <c r="E3">
        <v>0</v>
      </c>
      <c r="F3">
        <v>0</v>
      </c>
      <c r="G3">
        <v>0</v>
      </c>
      <c r="H3">
        <v>0</v>
      </c>
      <c r="I3">
        <v>0</v>
      </c>
      <c r="J3">
        <v>0</v>
      </c>
      <c r="K3">
        <v>24.4</v>
      </c>
      <c r="L3">
        <v>0</v>
      </c>
      <c r="M3">
        <v>0</v>
      </c>
      <c r="N3">
        <v>0</v>
      </c>
      <c r="O3">
        <v>0</v>
      </c>
    </row>
    <row r="4" spans="1:15" x14ac:dyDescent="0.25">
      <c r="A4">
        <v>3</v>
      </c>
      <c r="B4">
        <v>0</v>
      </c>
      <c r="C4">
        <v>18.25</v>
      </c>
      <c r="D4">
        <v>0</v>
      </c>
      <c r="E4">
        <v>26.42</v>
      </c>
      <c r="F4">
        <v>85.64</v>
      </c>
      <c r="G4">
        <v>0</v>
      </c>
      <c r="H4">
        <v>0</v>
      </c>
      <c r="I4">
        <v>0</v>
      </c>
      <c r="J4">
        <v>0</v>
      </c>
      <c r="K4">
        <v>19.57</v>
      </c>
      <c r="L4">
        <v>0</v>
      </c>
      <c r="M4">
        <v>0</v>
      </c>
      <c r="N4">
        <v>0</v>
      </c>
      <c r="O4">
        <v>0</v>
      </c>
    </row>
    <row r="5" spans="1:15" x14ac:dyDescent="0.25">
      <c r="A5">
        <v>4</v>
      </c>
      <c r="B5">
        <v>0</v>
      </c>
      <c r="C5">
        <v>0</v>
      </c>
      <c r="D5">
        <v>26.42</v>
      </c>
      <c r="E5">
        <v>0</v>
      </c>
      <c r="F5">
        <v>67.69</v>
      </c>
      <c r="G5">
        <v>0</v>
      </c>
      <c r="H5">
        <v>0</v>
      </c>
      <c r="I5">
        <v>0</v>
      </c>
      <c r="J5">
        <v>0</v>
      </c>
      <c r="K5">
        <v>0</v>
      </c>
      <c r="L5">
        <v>82.05</v>
      </c>
      <c r="M5">
        <v>0</v>
      </c>
      <c r="N5">
        <v>0</v>
      </c>
      <c r="O5">
        <v>0</v>
      </c>
    </row>
    <row r="6" spans="1:15" x14ac:dyDescent="0.25">
      <c r="A6">
        <v>5</v>
      </c>
      <c r="B6">
        <v>0</v>
      </c>
      <c r="C6">
        <v>0</v>
      </c>
      <c r="D6">
        <v>0</v>
      </c>
      <c r="E6">
        <v>0</v>
      </c>
      <c r="F6">
        <v>0</v>
      </c>
      <c r="G6">
        <v>12.56</v>
      </c>
      <c r="H6">
        <v>0</v>
      </c>
      <c r="I6">
        <v>0</v>
      </c>
      <c r="J6">
        <v>0</v>
      </c>
      <c r="K6">
        <v>0</v>
      </c>
      <c r="L6">
        <v>80.540000000000006</v>
      </c>
      <c r="M6">
        <v>0</v>
      </c>
      <c r="N6">
        <v>0</v>
      </c>
      <c r="O6">
        <v>0</v>
      </c>
    </row>
    <row r="7" spans="1:15" x14ac:dyDescent="0.25">
      <c r="A7">
        <v>6</v>
      </c>
      <c r="B7">
        <v>0</v>
      </c>
      <c r="C7">
        <v>0</v>
      </c>
      <c r="D7">
        <v>0</v>
      </c>
      <c r="E7">
        <v>0</v>
      </c>
      <c r="F7">
        <v>12.56</v>
      </c>
      <c r="G7">
        <v>0</v>
      </c>
      <c r="H7">
        <v>0</v>
      </c>
      <c r="I7">
        <v>142.78</v>
      </c>
      <c r="J7">
        <v>172.4</v>
      </c>
      <c r="K7">
        <v>0</v>
      </c>
      <c r="L7">
        <v>0</v>
      </c>
      <c r="M7">
        <v>0</v>
      </c>
      <c r="N7">
        <v>0</v>
      </c>
      <c r="O7">
        <v>0</v>
      </c>
    </row>
    <row r="8" spans="1:15" x14ac:dyDescent="0.25">
      <c r="A8">
        <v>7</v>
      </c>
      <c r="B8">
        <v>0</v>
      </c>
      <c r="C8">
        <v>0</v>
      </c>
      <c r="D8">
        <v>0</v>
      </c>
      <c r="E8">
        <v>0</v>
      </c>
      <c r="F8">
        <v>0</v>
      </c>
      <c r="G8">
        <v>0</v>
      </c>
      <c r="H8">
        <v>0</v>
      </c>
      <c r="I8">
        <v>0</v>
      </c>
      <c r="J8">
        <v>158.08000000000001</v>
      </c>
      <c r="K8">
        <v>0</v>
      </c>
      <c r="L8">
        <v>22.81</v>
      </c>
      <c r="M8">
        <v>0</v>
      </c>
      <c r="N8">
        <v>0</v>
      </c>
      <c r="O8">
        <v>0</v>
      </c>
    </row>
    <row r="9" spans="1:15" x14ac:dyDescent="0.25">
      <c r="A9">
        <v>8</v>
      </c>
      <c r="B9">
        <v>0</v>
      </c>
      <c r="C9">
        <v>0</v>
      </c>
      <c r="D9">
        <v>0</v>
      </c>
      <c r="E9">
        <v>0</v>
      </c>
      <c r="F9">
        <v>0</v>
      </c>
      <c r="G9">
        <v>0</v>
      </c>
      <c r="H9">
        <v>0</v>
      </c>
      <c r="I9">
        <v>0</v>
      </c>
      <c r="J9">
        <v>47.79</v>
      </c>
      <c r="K9">
        <v>0</v>
      </c>
      <c r="L9">
        <v>0</v>
      </c>
      <c r="M9">
        <v>79.87</v>
      </c>
      <c r="N9">
        <v>75.72</v>
      </c>
      <c r="O9">
        <v>0</v>
      </c>
    </row>
    <row r="10" spans="1:15" x14ac:dyDescent="0.25">
      <c r="A10">
        <v>9</v>
      </c>
      <c r="B10">
        <v>0</v>
      </c>
      <c r="C10">
        <v>0</v>
      </c>
      <c r="D10">
        <v>0</v>
      </c>
      <c r="E10">
        <v>0</v>
      </c>
      <c r="F10">
        <v>0</v>
      </c>
      <c r="G10">
        <v>0</v>
      </c>
      <c r="H10">
        <v>0</v>
      </c>
      <c r="I10">
        <v>47.79</v>
      </c>
      <c r="J10">
        <v>0</v>
      </c>
      <c r="K10">
        <v>0</v>
      </c>
      <c r="L10">
        <v>0</v>
      </c>
      <c r="M10">
        <v>73.069999999999993</v>
      </c>
      <c r="N10">
        <v>82.73</v>
      </c>
      <c r="O10">
        <v>0</v>
      </c>
    </row>
    <row r="11" spans="1:15" x14ac:dyDescent="0.25">
      <c r="A11">
        <v>10</v>
      </c>
      <c r="B11">
        <v>0</v>
      </c>
      <c r="C11">
        <v>0</v>
      </c>
      <c r="D11">
        <v>0</v>
      </c>
      <c r="E11">
        <v>0</v>
      </c>
      <c r="F11">
        <v>81.239999999999995</v>
      </c>
      <c r="G11">
        <v>0</v>
      </c>
      <c r="H11">
        <v>0</v>
      </c>
      <c r="I11">
        <v>0</v>
      </c>
      <c r="J11">
        <v>0</v>
      </c>
      <c r="K11">
        <v>0</v>
      </c>
      <c r="L11">
        <v>55.94</v>
      </c>
      <c r="M11">
        <v>0</v>
      </c>
      <c r="N11">
        <v>0</v>
      </c>
      <c r="O11">
        <v>0</v>
      </c>
    </row>
    <row r="12" spans="1:15" x14ac:dyDescent="0.25">
      <c r="A12">
        <v>11</v>
      </c>
      <c r="B12">
        <v>0</v>
      </c>
      <c r="C12">
        <v>0</v>
      </c>
      <c r="D12">
        <v>0</v>
      </c>
      <c r="E12">
        <v>0</v>
      </c>
      <c r="F12">
        <v>80.540000000000006</v>
      </c>
      <c r="G12">
        <v>0</v>
      </c>
      <c r="H12">
        <v>0</v>
      </c>
      <c r="I12">
        <v>174</v>
      </c>
      <c r="J12">
        <v>158.69999999999999</v>
      </c>
      <c r="K12">
        <v>0</v>
      </c>
      <c r="L12">
        <v>0</v>
      </c>
      <c r="M12">
        <v>0</v>
      </c>
      <c r="N12">
        <v>0</v>
      </c>
      <c r="O12">
        <v>0</v>
      </c>
    </row>
    <row r="13" spans="1:15" x14ac:dyDescent="0.25">
      <c r="A13">
        <v>12</v>
      </c>
      <c r="B13">
        <v>0</v>
      </c>
      <c r="C13">
        <v>0</v>
      </c>
      <c r="D13">
        <v>0</v>
      </c>
      <c r="E13">
        <v>0</v>
      </c>
      <c r="F13">
        <v>0</v>
      </c>
      <c r="G13">
        <v>0</v>
      </c>
      <c r="H13">
        <v>0</v>
      </c>
      <c r="I13">
        <v>0</v>
      </c>
      <c r="J13">
        <v>0</v>
      </c>
      <c r="K13">
        <v>0</v>
      </c>
      <c r="L13">
        <v>0</v>
      </c>
      <c r="M13">
        <v>0</v>
      </c>
      <c r="N13">
        <v>29.95</v>
      </c>
      <c r="O13">
        <v>0</v>
      </c>
    </row>
    <row r="14" spans="1:15" x14ac:dyDescent="0.25">
      <c r="A14">
        <v>13</v>
      </c>
      <c r="B14">
        <v>0</v>
      </c>
      <c r="C14">
        <v>0</v>
      </c>
      <c r="D14">
        <v>0</v>
      </c>
      <c r="E14">
        <v>0</v>
      </c>
      <c r="F14">
        <v>0</v>
      </c>
      <c r="G14">
        <v>0</v>
      </c>
      <c r="H14">
        <v>0</v>
      </c>
      <c r="I14">
        <v>0</v>
      </c>
      <c r="J14">
        <v>0</v>
      </c>
      <c r="K14">
        <v>0</v>
      </c>
      <c r="L14">
        <v>0</v>
      </c>
      <c r="M14">
        <v>0</v>
      </c>
      <c r="N14">
        <v>0</v>
      </c>
      <c r="O14">
        <v>0</v>
      </c>
    </row>
    <row r="15" spans="1:15" x14ac:dyDescent="0.25">
      <c r="A15">
        <v>14</v>
      </c>
      <c r="B15">
        <v>0</v>
      </c>
      <c r="C15">
        <v>0</v>
      </c>
      <c r="D15">
        <v>0</v>
      </c>
      <c r="E15">
        <v>0</v>
      </c>
      <c r="F15">
        <v>0</v>
      </c>
      <c r="G15">
        <v>0</v>
      </c>
      <c r="H15">
        <v>0</v>
      </c>
      <c r="I15">
        <v>0</v>
      </c>
      <c r="J15">
        <v>0</v>
      </c>
      <c r="K15">
        <v>0</v>
      </c>
      <c r="L15">
        <v>0</v>
      </c>
      <c r="M15">
        <v>0</v>
      </c>
      <c r="N15">
        <v>0</v>
      </c>
      <c r="O15">
        <v>0</v>
      </c>
    </row>
    <row r="21" spans="5:5" x14ac:dyDescent="0.25">
      <c r="E21" s="20"/>
    </row>
    <row r="22" spans="5:5" x14ac:dyDescent="0.25">
      <c r="E22" s="20"/>
    </row>
    <row r="23" spans="5:5" x14ac:dyDescent="0.25">
      <c r="E23" s="20"/>
    </row>
    <row r="24" spans="5:5" x14ac:dyDescent="0.25">
      <c r="E24" s="20"/>
    </row>
    <row r="25" spans="5:5" x14ac:dyDescent="0.25">
      <c r="E25" s="20"/>
    </row>
    <row r="26" spans="5:5" x14ac:dyDescent="0.25">
      <c r="E26" s="20"/>
    </row>
    <row r="27" spans="5:5" x14ac:dyDescent="0.25">
      <c r="E27" s="20"/>
    </row>
    <row r="28" spans="5:5" x14ac:dyDescent="0.25">
      <c r="E28" s="20"/>
    </row>
    <row r="29" spans="5:5" x14ac:dyDescent="0.25">
      <c r="E29" s="20"/>
    </row>
    <row r="30" spans="5:5" x14ac:dyDescent="0.25">
      <c r="E30" s="20"/>
    </row>
    <row r="31" spans="5:5" x14ac:dyDescent="0.25">
      <c r="E31" s="20"/>
    </row>
    <row r="32" spans="5:5" x14ac:dyDescent="0.25">
      <c r="E32" s="20"/>
    </row>
    <row r="33" spans="5:5" x14ac:dyDescent="0.25">
      <c r="E33" s="20"/>
    </row>
    <row r="34" spans="5:5" x14ac:dyDescent="0.25">
      <c r="E34" s="20"/>
    </row>
    <row r="35" spans="5:5" x14ac:dyDescent="0.25">
      <c r="E35" s="20"/>
    </row>
    <row r="36" spans="5:5" x14ac:dyDescent="0.25">
      <c r="E36" s="20"/>
    </row>
    <row r="37" spans="5:5" x14ac:dyDescent="0.25">
      <c r="E37" s="21"/>
    </row>
    <row r="38" spans="5:5" x14ac:dyDescent="0.25">
      <c r="E38" s="20"/>
    </row>
    <row r="39" spans="5:5" x14ac:dyDescent="0.25">
      <c r="E39" s="20"/>
    </row>
    <row r="40" spans="5:5" x14ac:dyDescent="0.25">
      <c r="E40" s="20"/>
    </row>
    <row r="41" spans="5:5" x14ac:dyDescent="0.25">
      <c r="E41" s="20"/>
    </row>
    <row r="42" spans="5:5" x14ac:dyDescent="0.25">
      <c r="E42" s="20"/>
    </row>
    <row r="43" spans="5:5" x14ac:dyDescent="0.25">
      <c r="E43" s="20"/>
    </row>
    <row r="44" spans="5:5" x14ac:dyDescent="0.25">
      <c r="E44" s="21"/>
    </row>
    <row r="45" spans="5:5" x14ac:dyDescent="0.25">
      <c r="E45" s="21"/>
    </row>
    <row r="46" spans="5:5" x14ac:dyDescent="0.25">
      <c r="E46" s="20"/>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E1039-D97C-3D49-B35C-467F70848C97}">
  <dimension ref="A1:O15"/>
  <sheetViews>
    <sheetView workbookViewId="0">
      <selection activeCell="F4" sqref="F4"/>
    </sheetView>
  </sheetViews>
  <sheetFormatPr defaultColWidth="11" defaultRowHeight="15.75" x14ac:dyDescent="0.25"/>
  <sheetData>
    <row r="1" spans="1:15" x14ac:dyDescent="0.25">
      <c r="B1">
        <v>1</v>
      </c>
      <c r="C1">
        <v>2</v>
      </c>
      <c r="D1">
        <v>3</v>
      </c>
      <c r="E1">
        <v>4</v>
      </c>
      <c r="F1">
        <v>5</v>
      </c>
      <c r="G1">
        <v>6</v>
      </c>
      <c r="H1">
        <v>7</v>
      </c>
      <c r="I1">
        <v>8</v>
      </c>
      <c r="J1">
        <v>9</v>
      </c>
      <c r="K1">
        <v>10</v>
      </c>
      <c r="L1">
        <v>11</v>
      </c>
      <c r="M1">
        <v>12</v>
      </c>
      <c r="N1">
        <v>13</v>
      </c>
      <c r="O1">
        <v>14</v>
      </c>
    </row>
    <row r="2" spans="1:15" x14ac:dyDescent="0.25">
      <c r="A2">
        <v>1</v>
      </c>
      <c r="B2">
        <v>0</v>
      </c>
      <c r="C2">
        <v>35.19</v>
      </c>
      <c r="D2">
        <v>0</v>
      </c>
      <c r="E2">
        <v>0</v>
      </c>
      <c r="F2">
        <v>0</v>
      </c>
      <c r="G2">
        <v>0</v>
      </c>
      <c r="H2">
        <v>0</v>
      </c>
      <c r="I2">
        <v>0</v>
      </c>
      <c r="J2">
        <v>0</v>
      </c>
      <c r="K2">
        <v>40.85</v>
      </c>
      <c r="L2">
        <v>75.66</v>
      </c>
      <c r="M2">
        <v>0</v>
      </c>
      <c r="N2">
        <v>0</v>
      </c>
      <c r="O2">
        <v>0</v>
      </c>
    </row>
    <row r="3" spans="1:15" x14ac:dyDescent="0.25">
      <c r="A3">
        <v>2</v>
      </c>
      <c r="B3">
        <v>35.19</v>
      </c>
      <c r="C3">
        <v>0</v>
      </c>
      <c r="D3">
        <v>14.8</v>
      </c>
      <c r="E3">
        <v>0</v>
      </c>
      <c r="F3">
        <v>0</v>
      </c>
      <c r="G3">
        <v>0</v>
      </c>
      <c r="H3">
        <v>0</v>
      </c>
      <c r="I3">
        <v>0</v>
      </c>
      <c r="J3">
        <v>0</v>
      </c>
      <c r="K3">
        <v>20.86</v>
      </c>
      <c r="L3">
        <v>0</v>
      </c>
      <c r="M3">
        <v>0</v>
      </c>
      <c r="N3">
        <v>0</v>
      </c>
      <c r="O3">
        <v>0</v>
      </c>
    </row>
    <row r="4" spans="1:15" x14ac:dyDescent="0.25">
      <c r="A4">
        <v>3</v>
      </c>
      <c r="B4">
        <v>0</v>
      </c>
      <c r="C4">
        <v>14.8</v>
      </c>
      <c r="D4">
        <v>0</v>
      </c>
      <c r="E4">
        <v>23.75</v>
      </c>
      <c r="F4">
        <v>75.11</v>
      </c>
      <c r="G4">
        <v>0</v>
      </c>
      <c r="H4">
        <v>0</v>
      </c>
      <c r="I4">
        <v>0</v>
      </c>
      <c r="J4">
        <v>0</v>
      </c>
      <c r="K4">
        <v>17.25</v>
      </c>
      <c r="L4">
        <v>0</v>
      </c>
      <c r="M4">
        <v>0</v>
      </c>
      <c r="N4">
        <v>0</v>
      </c>
      <c r="O4">
        <v>0</v>
      </c>
    </row>
    <row r="5" spans="1:15" x14ac:dyDescent="0.25">
      <c r="A5">
        <v>4</v>
      </c>
      <c r="B5">
        <v>0</v>
      </c>
      <c r="C5">
        <v>0</v>
      </c>
      <c r="D5">
        <v>23.75</v>
      </c>
      <c r="E5">
        <v>0</v>
      </c>
      <c r="F5">
        <v>60.94</v>
      </c>
      <c r="G5">
        <v>0</v>
      </c>
      <c r="H5">
        <v>0</v>
      </c>
      <c r="I5">
        <v>0</v>
      </c>
      <c r="J5">
        <v>0</v>
      </c>
      <c r="K5">
        <v>0</v>
      </c>
      <c r="L5">
        <v>72.42</v>
      </c>
      <c r="M5">
        <v>0</v>
      </c>
      <c r="N5">
        <v>0</v>
      </c>
      <c r="O5">
        <v>0</v>
      </c>
    </row>
    <row r="6" spans="1:15" x14ac:dyDescent="0.25">
      <c r="A6">
        <v>5</v>
      </c>
      <c r="B6">
        <v>0</v>
      </c>
      <c r="C6">
        <v>0</v>
      </c>
      <c r="D6">
        <v>0</v>
      </c>
      <c r="E6">
        <v>0</v>
      </c>
      <c r="F6">
        <v>0</v>
      </c>
      <c r="G6">
        <v>10.38</v>
      </c>
      <c r="H6">
        <v>0</v>
      </c>
      <c r="I6">
        <v>0</v>
      </c>
      <c r="J6">
        <v>0</v>
      </c>
      <c r="K6">
        <v>0</v>
      </c>
      <c r="L6">
        <v>64.540000000000006</v>
      </c>
      <c r="M6">
        <v>0</v>
      </c>
      <c r="N6">
        <v>0</v>
      </c>
      <c r="O6">
        <v>0</v>
      </c>
    </row>
    <row r="7" spans="1:15" x14ac:dyDescent="0.25">
      <c r="A7">
        <v>6</v>
      </c>
      <c r="B7">
        <v>0</v>
      </c>
      <c r="C7">
        <v>0</v>
      </c>
      <c r="D7">
        <v>0</v>
      </c>
      <c r="E7">
        <v>0</v>
      </c>
      <c r="F7">
        <v>10.38</v>
      </c>
      <c r="G7">
        <v>0</v>
      </c>
      <c r="H7">
        <v>0</v>
      </c>
      <c r="I7">
        <v>120.4</v>
      </c>
      <c r="J7">
        <v>140.99</v>
      </c>
      <c r="K7">
        <v>0</v>
      </c>
      <c r="L7">
        <v>0</v>
      </c>
      <c r="M7">
        <v>0</v>
      </c>
      <c r="N7">
        <v>0</v>
      </c>
      <c r="O7">
        <v>0</v>
      </c>
    </row>
    <row r="8" spans="1:15" x14ac:dyDescent="0.25">
      <c r="A8">
        <v>7</v>
      </c>
      <c r="B8">
        <v>0</v>
      </c>
      <c r="C8">
        <v>0</v>
      </c>
      <c r="D8">
        <v>0</v>
      </c>
      <c r="E8">
        <v>0</v>
      </c>
      <c r="F8">
        <v>0</v>
      </c>
      <c r="G8">
        <v>0</v>
      </c>
      <c r="H8">
        <v>0</v>
      </c>
      <c r="I8">
        <v>0</v>
      </c>
      <c r="J8">
        <v>131.94999999999999</v>
      </c>
      <c r="K8">
        <v>0</v>
      </c>
      <c r="L8">
        <v>31.24</v>
      </c>
      <c r="M8">
        <v>0</v>
      </c>
      <c r="N8">
        <v>0</v>
      </c>
      <c r="O8">
        <v>0</v>
      </c>
    </row>
    <row r="9" spans="1:15" x14ac:dyDescent="0.25">
      <c r="A9">
        <v>8</v>
      </c>
      <c r="B9">
        <v>0</v>
      </c>
      <c r="C9">
        <v>0</v>
      </c>
      <c r="D9">
        <v>0</v>
      </c>
      <c r="E9">
        <v>0</v>
      </c>
      <c r="F9">
        <v>0</v>
      </c>
      <c r="G9">
        <v>0</v>
      </c>
      <c r="H9">
        <v>0</v>
      </c>
      <c r="I9">
        <v>0</v>
      </c>
      <c r="J9">
        <v>39.840000000000003</v>
      </c>
      <c r="K9">
        <v>0</v>
      </c>
      <c r="L9">
        <v>0</v>
      </c>
      <c r="M9">
        <v>71.489999999999995</v>
      </c>
      <c r="N9">
        <v>64.760000000000005</v>
      </c>
      <c r="O9">
        <v>0</v>
      </c>
    </row>
    <row r="10" spans="1:15" x14ac:dyDescent="0.25">
      <c r="A10">
        <v>9</v>
      </c>
      <c r="B10">
        <v>0</v>
      </c>
      <c r="C10">
        <v>0</v>
      </c>
      <c r="D10">
        <v>0</v>
      </c>
      <c r="E10">
        <v>0</v>
      </c>
      <c r="F10">
        <v>0</v>
      </c>
      <c r="G10">
        <v>0</v>
      </c>
      <c r="H10">
        <v>0</v>
      </c>
      <c r="I10">
        <v>39.840000000000003</v>
      </c>
      <c r="J10">
        <v>0</v>
      </c>
      <c r="K10">
        <v>0</v>
      </c>
      <c r="L10">
        <v>0</v>
      </c>
      <c r="M10">
        <v>63.39</v>
      </c>
      <c r="N10">
        <v>67.41</v>
      </c>
      <c r="O10">
        <v>0</v>
      </c>
    </row>
    <row r="11" spans="1:15" x14ac:dyDescent="0.25">
      <c r="A11">
        <v>10</v>
      </c>
      <c r="B11">
        <v>0</v>
      </c>
      <c r="C11">
        <v>0</v>
      </c>
      <c r="D11">
        <v>0</v>
      </c>
      <c r="E11">
        <v>0</v>
      </c>
      <c r="F11">
        <v>73.02</v>
      </c>
      <c r="G11">
        <v>0</v>
      </c>
      <c r="H11">
        <v>0</v>
      </c>
      <c r="I11">
        <v>0</v>
      </c>
      <c r="J11">
        <v>0</v>
      </c>
      <c r="K11">
        <v>0</v>
      </c>
      <c r="L11">
        <v>48.78</v>
      </c>
      <c r="M11">
        <v>0</v>
      </c>
      <c r="N11">
        <v>0</v>
      </c>
      <c r="O11">
        <v>0</v>
      </c>
    </row>
    <row r="12" spans="1:15" x14ac:dyDescent="0.25">
      <c r="A12">
        <v>11</v>
      </c>
      <c r="B12">
        <v>0</v>
      </c>
      <c r="C12">
        <v>0</v>
      </c>
      <c r="D12">
        <v>0</v>
      </c>
      <c r="E12">
        <v>0</v>
      </c>
      <c r="F12">
        <v>64.540000000000006</v>
      </c>
      <c r="G12">
        <v>0</v>
      </c>
      <c r="H12">
        <v>0</v>
      </c>
      <c r="I12">
        <v>149.94</v>
      </c>
      <c r="J12">
        <v>148.43</v>
      </c>
      <c r="K12">
        <v>0</v>
      </c>
      <c r="L12">
        <v>0</v>
      </c>
      <c r="M12">
        <v>0</v>
      </c>
      <c r="N12">
        <v>0</v>
      </c>
      <c r="O12">
        <v>0</v>
      </c>
    </row>
    <row r="13" spans="1:15" x14ac:dyDescent="0.25">
      <c r="A13">
        <v>12</v>
      </c>
      <c r="B13">
        <v>0</v>
      </c>
      <c r="C13">
        <v>0</v>
      </c>
      <c r="D13">
        <v>0</v>
      </c>
      <c r="E13">
        <v>0</v>
      </c>
      <c r="F13">
        <v>0</v>
      </c>
      <c r="G13">
        <v>0</v>
      </c>
      <c r="H13">
        <v>0</v>
      </c>
      <c r="I13">
        <v>0</v>
      </c>
      <c r="J13">
        <v>0</v>
      </c>
      <c r="K13">
        <v>0</v>
      </c>
      <c r="L13">
        <v>0</v>
      </c>
      <c r="M13">
        <v>0</v>
      </c>
      <c r="N13">
        <v>17.989999999999998</v>
      </c>
      <c r="O13">
        <v>0</v>
      </c>
    </row>
    <row r="14" spans="1:15" x14ac:dyDescent="0.25">
      <c r="A14">
        <v>13</v>
      </c>
      <c r="B14">
        <v>0</v>
      </c>
      <c r="C14">
        <v>0</v>
      </c>
      <c r="D14">
        <v>0</v>
      </c>
      <c r="E14">
        <v>0</v>
      </c>
      <c r="F14">
        <v>0</v>
      </c>
      <c r="G14">
        <v>0</v>
      </c>
      <c r="H14">
        <v>0</v>
      </c>
      <c r="I14">
        <v>0</v>
      </c>
      <c r="J14">
        <v>0</v>
      </c>
      <c r="K14">
        <v>0</v>
      </c>
      <c r="L14">
        <v>0</v>
      </c>
      <c r="M14">
        <v>0</v>
      </c>
      <c r="N14">
        <v>0</v>
      </c>
      <c r="O14">
        <v>29.42</v>
      </c>
    </row>
    <row r="15" spans="1:15" x14ac:dyDescent="0.25">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9139D-DBE5-304B-89AC-246EB19A47BF}">
  <dimension ref="A1:O15"/>
  <sheetViews>
    <sheetView workbookViewId="0">
      <selection activeCell="K9" sqref="K9"/>
    </sheetView>
  </sheetViews>
  <sheetFormatPr defaultColWidth="11" defaultRowHeight="15.75" x14ac:dyDescent="0.25"/>
  <sheetData>
    <row r="1" spans="1:15" x14ac:dyDescent="0.25">
      <c r="B1">
        <v>1</v>
      </c>
      <c r="C1">
        <v>2</v>
      </c>
      <c r="D1">
        <v>3</v>
      </c>
      <c r="E1">
        <v>4</v>
      </c>
      <c r="F1">
        <v>5</v>
      </c>
      <c r="G1">
        <v>6</v>
      </c>
      <c r="H1">
        <v>7</v>
      </c>
      <c r="I1">
        <v>8</v>
      </c>
      <c r="J1">
        <v>9</v>
      </c>
      <c r="K1">
        <v>10</v>
      </c>
      <c r="L1">
        <v>11</v>
      </c>
      <c r="M1">
        <v>12</v>
      </c>
      <c r="N1">
        <v>13</v>
      </c>
      <c r="O1">
        <v>14</v>
      </c>
    </row>
    <row r="2" spans="1:15" x14ac:dyDescent="0.25">
      <c r="A2">
        <v>1</v>
      </c>
      <c r="B2">
        <v>0</v>
      </c>
      <c r="C2">
        <v>58.67</v>
      </c>
      <c r="D2">
        <v>0</v>
      </c>
      <c r="E2">
        <v>0</v>
      </c>
      <c r="F2">
        <v>0</v>
      </c>
      <c r="G2">
        <v>0</v>
      </c>
      <c r="H2">
        <v>0</v>
      </c>
      <c r="I2">
        <v>0</v>
      </c>
      <c r="J2">
        <v>0</v>
      </c>
      <c r="K2">
        <v>0</v>
      </c>
      <c r="L2">
        <v>0</v>
      </c>
      <c r="M2">
        <v>0</v>
      </c>
      <c r="N2">
        <v>0</v>
      </c>
      <c r="O2">
        <v>0</v>
      </c>
    </row>
    <row r="3" spans="1:15" x14ac:dyDescent="0.25">
      <c r="A3">
        <v>2</v>
      </c>
      <c r="B3">
        <v>58.67</v>
      </c>
      <c r="C3">
        <v>0</v>
      </c>
      <c r="D3">
        <v>19.11</v>
      </c>
      <c r="E3">
        <v>0</v>
      </c>
      <c r="F3">
        <v>0</v>
      </c>
      <c r="G3">
        <v>0</v>
      </c>
      <c r="H3">
        <v>0</v>
      </c>
      <c r="I3">
        <v>0</v>
      </c>
      <c r="J3">
        <v>0</v>
      </c>
      <c r="K3">
        <v>0</v>
      </c>
      <c r="L3">
        <v>0</v>
      </c>
      <c r="M3">
        <v>0</v>
      </c>
      <c r="N3">
        <v>0</v>
      </c>
      <c r="O3">
        <v>0</v>
      </c>
    </row>
    <row r="4" spans="1:15" x14ac:dyDescent="0.25">
      <c r="A4">
        <v>3</v>
      </c>
      <c r="B4">
        <v>0</v>
      </c>
      <c r="C4">
        <v>19.11</v>
      </c>
      <c r="D4">
        <v>0</v>
      </c>
      <c r="E4">
        <v>0</v>
      </c>
      <c r="F4">
        <v>78.67</v>
      </c>
      <c r="G4">
        <v>0</v>
      </c>
      <c r="H4">
        <v>0</v>
      </c>
      <c r="I4">
        <v>0</v>
      </c>
      <c r="J4">
        <v>0</v>
      </c>
      <c r="K4">
        <v>0</v>
      </c>
      <c r="L4">
        <v>0</v>
      </c>
      <c r="M4">
        <v>0</v>
      </c>
      <c r="N4">
        <v>0</v>
      </c>
      <c r="O4">
        <v>0</v>
      </c>
    </row>
    <row r="5" spans="1:15" x14ac:dyDescent="0.25">
      <c r="A5">
        <v>4</v>
      </c>
      <c r="B5">
        <v>0</v>
      </c>
      <c r="C5">
        <v>0</v>
      </c>
      <c r="D5">
        <v>0</v>
      </c>
      <c r="E5">
        <v>0</v>
      </c>
      <c r="F5">
        <v>0</v>
      </c>
      <c r="G5">
        <v>0</v>
      </c>
      <c r="H5">
        <v>0</v>
      </c>
      <c r="I5">
        <v>0</v>
      </c>
      <c r="J5">
        <v>0</v>
      </c>
      <c r="K5">
        <v>0</v>
      </c>
      <c r="L5">
        <v>0</v>
      </c>
      <c r="M5">
        <v>0</v>
      </c>
      <c r="N5">
        <v>0</v>
      </c>
      <c r="O5">
        <v>0</v>
      </c>
    </row>
    <row r="6" spans="1:15" x14ac:dyDescent="0.25">
      <c r="A6">
        <v>5</v>
      </c>
      <c r="B6">
        <v>0</v>
      </c>
      <c r="C6">
        <v>0</v>
      </c>
      <c r="D6">
        <v>0</v>
      </c>
      <c r="E6">
        <v>0</v>
      </c>
      <c r="F6">
        <v>0</v>
      </c>
      <c r="G6">
        <v>0</v>
      </c>
      <c r="H6">
        <v>0</v>
      </c>
      <c r="I6">
        <v>0</v>
      </c>
      <c r="J6">
        <v>0</v>
      </c>
      <c r="K6">
        <v>0</v>
      </c>
      <c r="L6">
        <v>0</v>
      </c>
      <c r="M6">
        <v>0</v>
      </c>
      <c r="N6">
        <v>0</v>
      </c>
      <c r="O6">
        <v>0</v>
      </c>
    </row>
    <row r="7" spans="1:15" x14ac:dyDescent="0.25">
      <c r="A7">
        <v>6</v>
      </c>
      <c r="B7">
        <v>0</v>
      </c>
      <c r="C7">
        <v>0</v>
      </c>
      <c r="D7">
        <v>0</v>
      </c>
      <c r="E7">
        <v>0</v>
      </c>
      <c r="F7">
        <v>0</v>
      </c>
      <c r="G7">
        <v>0</v>
      </c>
      <c r="H7">
        <v>0</v>
      </c>
      <c r="I7">
        <v>0</v>
      </c>
      <c r="J7">
        <v>0</v>
      </c>
      <c r="K7">
        <v>0</v>
      </c>
      <c r="L7">
        <v>0</v>
      </c>
      <c r="M7">
        <v>0</v>
      </c>
      <c r="N7">
        <v>0</v>
      </c>
      <c r="O7">
        <v>0</v>
      </c>
    </row>
    <row r="8" spans="1:15" x14ac:dyDescent="0.25">
      <c r="A8">
        <v>7</v>
      </c>
      <c r="B8">
        <v>0</v>
      </c>
      <c r="C8">
        <v>0</v>
      </c>
      <c r="D8">
        <v>0</v>
      </c>
      <c r="E8">
        <v>0</v>
      </c>
      <c r="F8">
        <v>0</v>
      </c>
      <c r="G8">
        <v>0</v>
      </c>
      <c r="H8">
        <v>0</v>
      </c>
      <c r="I8">
        <v>0</v>
      </c>
      <c r="J8">
        <v>0</v>
      </c>
      <c r="K8">
        <v>0</v>
      </c>
      <c r="L8">
        <v>0</v>
      </c>
      <c r="M8">
        <v>0</v>
      </c>
      <c r="N8">
        <v>0</v>
      </c>
      <c r="O8">
        <v>0</v>
      </c>
    </row>
    <row r="9" spans="1:15" x14ac:dyDescent="0.25">
      <c r="A9">
        <v>8</v>
      </c>
      <c r="B9">
        <v>0</v>
      </c>
      <c r="C9">
        <v>0</v>
      </c>
      <c r="D9">
        <v>0</v>
      </c>
      <c r="E9">
        <v>0</v>
      </c>
      <c r="F9">
        <v>0</v>
      </c>
      <c r="G9">
        <v>0</v>
      </c>
      <c r="H9">
        <v>0</v>
      </c>
      <c r="I9">
        <v>0</v>
      </c>
      <c r="J9">
        <v>0</v>
      </c>
      <c r="K9">
        <v>0</v>
      </c>
      <c r="L9">
        <v>0</v>
      </c>
      <c r="M9">
        <v>0</v>
      </c>
      <c r="N9">
        <v>0</v>
      </c>
      <c r="O9">
        <v>0</v>
      </c>
    </row>
    <row r="10" spans="1:15" x14ac:dyDescent="0.25">
      <c r="A10">
        <v>9</v>
      </c>
      <c r="B10">
        <v>0</v>
      </c>
      <c r="C10">
        <v>0</v>
      </c>
      <c r="D10">
        <v>0</v>
      </c>
      <c r="E10">
        <v>0</v>
      </c>
      <c r="F10">
        <v>0</v>
      </c>
      <c r="G10">
        <v>0</v>
      </c>
      <c r="H10">
        <v>0</v>
      </c>
      <c r="I10">
        <v>0</v>
      </c>
      <c r="J10">
        <v>0</v>
      </c>
      <c r="K10">
        <v>0</v>
      </c>
      <c r="L10">
        <v>0</v>
      </c>
      <c r="M10">
        <v>110.46</v>
      </c>
      <c r="N10">
        <v>0</v>
      </c>
      <c r="O10">
        <v>0</v>
      </c>
    </row>
    <row r="11" spans="1:15" x14ac:dyDescent="0.25">
      <c r="A11">
        <v>10</v>
      </c>
      <c r="B11">
        <v>0</v>
      </c>
      <c r="C11">
        <v>0</v>
      </c>
      <c r="D11">
        <v>0</v>
      </c>
      <c r="E11">
        <v>0</v>
      </c>
      <c r="F11">
        <v>0</v>
      </c>
      <c r="G11">
        <v>0</v>
      </c>
      <c r="H11">
        <v>0</v>
      </c>
      <c r="I11">
        <v>0</v>
      </c>
      <c r="J11">
        <v>0</v>
      </c>
      <c r="K11">
        <v>0</v>
      </c>
      <c r="L11">
        <v>0</v>
      </c>
      <c r="M11">
        <v>0</v>
      </c>
      <c r="N11">
        <v>0</v>
      </c>
      <c r="O11">
        <v>0</v>
      </c>
    </row>
    <row r="12" spans="1:15" x14ac:dyDescent="0.25">
      <c r="A12">
        <v>11</v>
      </c>
      <c r="B12">
        <v>0</v>
      </c>
      <c r="C12">
        <v>0</v>
      </c>
      <c r="D12">
        <v>0</v>
      </c>
      <c r="E12">
        <v>0</v>
      </c>
      <c r="F12">
        <v>0</v>
      </c>
      <c r="G12">
        <v>0</v>
      </c>
      <c r="H12">
        <v>0</v>
      </c>
      <c r="I12">
        <v>0</v>
      </c>
      <c r="J12">
        <v>0</v>
      </c>
      <c r="K12">
        <v>0</v>
      </c>
      <c r="L12">
        <v>0</v>
      </c>
      <c r="M12">
        <v>0</v>
      </c>
      <c r="N12">
        <v>0</v>
      </c>
      <c r="O12">
        <v>0</v>
      </c>
    </row>
    <row r="13" spans="1:15" x14ac:dyDescent="0.25">
      <c r="A13">
        <v>12</v>
      </c>
      <c r="B13">
        <v>0</v>
      </c>
      <c r="C13">
        <v>0</v>
      </c>
      <c r="D13">
        <v>0</v>
      </c>
      <c r="E13">
        <v>0</v>
      </c>
      <c r="F13">
        <v>0</v>
      </c>
      <c r="G13">
        <v>0</v>
      </c>
      <c r="H13">
        <v>0</v>
      </c>
      <c r="I13">
        <v>0</v>
      </c>
      <c r="J13">
        <v>0</v>
      </c>
      <c r="K13">
        <v>0</v>
      </c>
      <c r="L13">
        <v>0</v>
      </c>
      <c r="M13">
        <v>0</v>
      </c>
      <c r="N13">
        <v>0</v>
      </c>
      <c r="O13">
        <v>0</v>
      </c>
    </row>
    <row r="14" spans="1:15" x14ac:dyDescent="0.25">
      <c r="A14">
        <v>13</v>
      </c>
      <c r="B14">
        <v>0</v>
      </c>
      <c r="C14">
        <v>0</v>
      </c>
      <c r="D14">
        <v>0</v>
      </c>
      <c r="E14">
        <v>0</v>
      </c>
      <c r="F14">
        <v>0</v>
      </c>
      <c r="G14">
        <v>0</v>
      </c>
      <c r="H14">
        <v>0</v>
      </c>
      <c r="I14">
        <v>0</v>
      </c>
      <c r="J14">
        <v>0</v>
      </c>
      <c r="K14">
        <v>0</v>
      </c>
      <c r="L14">
        <v>0</v>
      </c>
      <c r="M14">
        <v>0</v>
      </c>
      <c r="N14">
        <v>0</v>
      </c>
      <c r="O14">
        <v>0</v>
      </c>
    </row>
    <row r="15" spans="1:15" x14ac:dyDescent="0.25">
      <c r="A15">
        <v>14</v>
      </c>
      <c r="B15">
        <v>0</v>
      </c>
      <c r="C15">
        <v>0</v>
      </c>
      <c r="D15">
        <v>0</v>
      </c>
      <c r="E15">
        <v>0</v>
      </c>
      <c r="F15">
        <v>0</v>
      </c>
      <c r="G15">
        <v>0</v>
      </c>
      <c r="H15">
        <v>0</v>
      </c>
      <c r="I15">
        <v>0</v>
      </c>
      <c r="J15">
        <v>0</v>
      </c>
      <c r="K15">
        <v>0</v>
      </c>
      <c r="L15">
        <v>0</v>
      </c>
      <c r="M15">
        <v>0</v>
      </c>
      <c r="N15">
        <v>0</v>
      </c>
      <c r="O15">
        <v>0</v>
      </c>
    </row>
  </sheetData>
  <conditionalFormatting sqref="B2:O1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45BEF8-FD01-C74E-851D-7C4DF35ACF13}">
  <dimension ref="A1:N82"/>
  <sheetViews>
    <sheetView topLeftCell="A32" workbookViewId="0">
      <selection activeCell="B45" sqref="B45"/>
    </sheetView>
  </sheetViews>
  <sheetFormatPr defaultColWidth="11" defaultRowHeight="15.75" x14ac:dyDescent="0.25"/>
  <cols>
    <col min="1" max="1" width="41.125" customWidth="1"/>
    <col min="2" max="2" width="38.375" customWidth="1"/>
    <col min="4" max="4" width="25.875" customWidth="1"/>
    <col min="8" max="8" width="12.5" customWidth="1"/>
    <col min="9" max="9" width="28" customWidth="1"/>
  </cols>
  <sheetData>
    <row r="1" spans="1:14" x14ac:dyDescent="0.25">
      <c r="A1" s="7" t="s">
        <v>130</v>
      </c>
      <c r="B1" s="8" t="s">
        <v>131</v>
      </c>
      <c r="C1" s="8" t="s">
        <v>132</v>
      </c>
      <c r="D1" s="9" t="s">
        <v>133</v>
      </c>
      <c r="E1" s="9" t="s">
        <v>134</v>
      </c>
      <c r="G1" s="9" t="s">
        <v>135</v>
      </c>
      <c r="H1" s="9" t="s">
        <v>136</v>
      </c>
      <c r="I1" s="9" t="s">
        <v>137</v>
      </c>
      <c r="J1" s="9" t="s">
        <v>138</v>
      </c>
      <c r="K1" s="9" t="s">
        <v>139</v>
      </c>
      <c r="L1" s="9" t="s">
        <v>140</v>
      </c>
      <c r="M1" s="9" t="s">
        <v>0</v>
      </c>
      <c r="N1" s="9" t="s">
        <v>141</v>
      </c>
    </row>
    <row r="2" spans="1:14" s="1" customFormat="1" x14ac:dyDescent="0.25">
      <c r="A2" s="1" t="s">
        <v>45</v>
      </c>
      <c r="B2" s="2">
        <v>8.8840800000000009</v>
      </c>
      <c r="C2" s="2">
        <v>45.101039999999998</v>
      </c>
      <c r="D2" s="5">
        <v>1597264000</v>
      </c>
      <c r="E2" s="1" t="s">
        <v>42</v>
      </c>
      <c r="F2" s="1" t="s">
        <v>118</v>
      </c>
      <c r="G2" s="1" t="s">
        <v>46</v>
      </c>
      <c r="H2" s="1" t="s">
        <v>43</v>
      </c>
      <c r="I2" s="1" t="s">
        <v>47</v>
      </c>
      <c r="L2" s="1">
        <v>2021</v>
      </c>
      <c r="M2" s="6" t="s">
        <v>7</v>
      </c>
    </row>
    <row r="3" spans="1:14" s="1" customFormat="1" x14ac:dyDescent="0.25">
      <c r="A3" s="1" t="s">
        <v>15</v>
      </c>
      <c r="B3" s="2">
        <v>7.51762</v>
      </c>
      <c r="C3" s="2">
        <v>44.262830000000001</v>
      </c>
      <c r="D3" s="5">
        <v>933726000</v>
      </c>
      <c r="E3" s="1" t="s">
        <v>2</v>
      </c>
      <c r="F3" s="1" t="s">
        <v>117</v>
      </c>
      <c r="G3" s="1" t="s">
        <v>3</v>
      </c>
      <c r="H3" s="1" t="s">
        <v>16</v>
      </c>
      <c r="I3" s="1" t="s">
        <v>17</v>
      </c>
      <c r="J3" s="1">
        <v>1600000</v>
      </c>
      <c r="K3" s="1" t="s">
        <v>6</v>
      </c>
      <c r="L3" s="1">
        <v>2021</v>
      </c>
      <c r="M3" s="6" t="s">
        <v>7</v>
      </c>
    </row>
    <row r="4" spans="1:14" s="16" customFormat="1" x14ac:dyDescent="0.25">
      <c r="A4" s="16" t="s">
        <v>28</v>
      </c>
      <c r="B4" s="17">
        <v>10.341900000000001</v>
      </c>
      <c r="C4" s="17">
        <v>45.516039999999997</v>
      </c>
      <c r="D4" s="18">
        <v>918742000</v>
      </c>
      <c r="E4" s="16" t="s">
        <v>2</v>
      </c>
      <c r="F4" s="16" t="s">
        <v>119</v>
      </c>
      <c r="G4" s="16" t="s">
        <v>23</v>
      </c>
      <c r="H4" s="16" t="s">
        <v>16</v>
      </c>
      <c r="I4" s="16" t="s">
        <v>29</v>
      </c>
      <c r="J4" s="16">
        <v>1300000</v>
      </c>
      <c r="K4" s="16" t="s">
        <v>6</v>
      </c>
      <c r="L4" s="16">
        <v>2021</v>
      </c>
      <c r="M4" s="19" t="s">
        <v>7</v>
      </c>
    </row>
    <row r="5" spans="1:14" s="16" customFormat="1" x14ac:dyDescent="0.25">
      <c r="A5" s="16" t="s">
        <v>68</v>
      </c>
      <c r="B5" s="17">
        <v>10.20872</v>
      </c>
      <c r="C5" s="17">
        <v>45.51314</v>
      </c>
      <c r="D5" s="18">
        <v>867256250</v>
      </c>
      <c r="E5" s="16" t="s">
        <v>52</v>
      </c>
      <c r="F5" s="16" t="s">
        <v>120</v>
      </c>
      <c r="G5" s="16" t="s">
        <v>69</v>
      </c>
      <c r="H5" s="16" t="s">
        <v>54</v>
      </c>
      <c r="I5" s="16" t="s">
        <v>70</v>
      </c>
      <c r="J5" s="16">
        <v>730000</v>
      </c>
      <c r="K5" s="16" t="s">
        <v>6</v>
      </c>
      <c r="L5" s="16">
        <v>2022</v>
      </c>
      <c r="M5" s="16" t="s">
        <v>71</v>
      </c>
    </row>
    <row r="6" spans="1:14" s="1" customFormat="1" x14ac:dyDescent="0.25">
      <c r="A6" s="1" t="s">
        <v>41</v>
      </c>
      <c r="B6" s="2">
        <v>8.7880199999999995</v>
      </c>
      <c r="C6" s="2">
        <v>45.441830000000003</v>
      </c>
      <c r="D6" s="3">
        <v>850236000</v>
      </c>
      <c r="E6" s="1" t="s">
        <v>42</v>
      </c>
      <c r="F6" s="1" t="s">
        <v>121</v>
      </c>
      <c r="H6" s="1" t="s">
        <v>43</v>
      </c>
      <c r="I6" s="1" t="s">
        <v>44</v>
      </c>
      <c r="L6" s="1">
        <v>2021</v>
      </c>
      <c r="M6" s="4" t="s">
        <v>7</v>
      </c>
    </row>
    <row r="7" spans="1:14" s="16" customFormat="1" x14ac:dyDescent="0.25">
      <c r="A7" s="16" t="s">
        <v>22</v>
      </c>
      <c r="B7" s="17">
        <v>9.4682999999999993</v>
      </c>
      <c r="C7" s="17">
        <v>45.68723</v>
      </c>
      <c r="D7" s="18">
        <v>790120000</v>
      </c>
      <c r="E7" s="16" t="s">
        <v>2</v>
      </c>
      <c r="F7" s="16" t="s">
        <v>122</v>
      </c>
      <c r="G7" s="16" t="s">
        <v>23</v>
      </c>
      <c r="H7" s="16" t="s">
        <v>16</v>
      </c>
      <c r="I7" s="16" t="s">
        <v>24</v>
      </c>
      <c r="J7" s="16">
        <v>1500000</v>
      </c>
      <c r="K7" s="16" t="s">
        <v>6</v>
      </c>
      <c r="L7" s="16">
        <v>2021</v>
      </c>
      <c r="M7" s="19" t="s">
        <v>7</v>
      </c>
    </row>
    <row r="8" spans="1:14" s="1" customFormat="1" x14ac:dyDescent="0.25">
      <c r="A8" s="1" t="s">
        <v>65</v>
      </c>
      <c r="B8" s="2">
        <v>7.5882199999999997</v>
      </c>
      <c r="C8" s="2">
        <v>45.03651</v>
      </c>
      <c r="D8" s="3">
        <v>600525753</v>
      </c>
      <c r="E8" s="1" t="s">
        <v>52</v>
      </c>
      <c r="F8" s="1" t="s">
        <v>123</v>
      </c>
      <c r="G8" s="1" t="s">
        <v>66</v>
      </c>
      <c r="H8" s="1" t="s">
        <v>54</v>
      </c>
      <c r="I8" s="1" t="s">
        <v>67</v>
      </c>
      <c r="J8" s="1">
        <v>421000</v>
      </c>
      <c r="K8" s="1" t="s">
        <v>6</v>
      </c>
      <c r="L8" s="1">
        <v>2021</v>
      </c>
      <c r="M8" s="4" t="s">
        <v>7</v>
      </c>
    </row>
    <row r="9" spans="1:14" s="16" customFormat="1" x14ac:dyDescent="0.25">
      <c r="A9" s="16" t="s">
        <v>39</v>
      </c>
      <c r="B9" s="17">
        <v>9.8099799999999995</v>
      </c>
      <c r="C9" s="17">
        <v>44.793680000000002</v>
      </c>
      <c r="D9" s="18">
        <v>587138470</v>
      </c>
      <c r="E9" s="16" t="s">
        <v>2</v>
      </c>
      <c r="F9" s="16" t="s">
        <v>124</v>
      </c>
      <c r="G9" s="16" t="s">
        <v>3</v>
      </c>
      <c r="H9" s="16" t="s">
        <v>16</v>
      </c>
      <c r="I9" s="16" t="s">
        <v>40</v>
      </c>
      <c r="J9" s="16">
        <v>1300000</v>
      </c>
      <c r="K9" s="16" t="s">
        <v>6</v>
      </c>
      <c r="L9" s="16">
        <v>2021</v>
      </c>
      <c r="M9" s="19" t="s">
        <v>7</v>
      </c>
    </row>
    <row r="10" spans="1:14" s="1" customFormat="1" x14ac:dyDescent="0.25">
      <c r="A10" s="1" t="s">
        <v>32</v>
      </c>
      <c r="B10" s="2">
        <v>8.6815800000000003</v>
      </c>
      <c r="C10" s="2">
        <v>45.782780000000002</v>
      </c>
      <c r="D10" s="3">
        <v>536971000</v>
      </c>
      <c r="E10" s="1" t="s">
        <v>2</v>
      </c>
      <c r="F10" s="1" t="s">
        <v>125</v>
      </c>
      <c r="G10" s="1" t="s">
        <v>33</v>
      </c>
      <c r="H10" s="1" t="s">
        <v>16</v>
      </c>
      <c r="I10" s="1" t="s">
        <v>34</v>
      </c>
      <c r="J10" s="1" t="s">
        <v>14</v>
      </c>
      <c r="L10" s="1">
        <v>2021</v>
      </c>
      <c r="M10" s="4" t="s">
        <v>7</v>
      </c>
    </row>
    <row r="11" spans="1:14" s="1" customFormat="1" x14ac:dyDescent="0.25">
      <c r="A11" s="1" t="s">
        <v>25</v>
      </c>
      <c r="B11" s="2">
        <v>8.6675400000000007</v>
      </c>
      <c r="C11" s="2">
        <v>45.886299999999999</v>
      </c>
      <c r="D11" s="3">
        <v>510739000</v>
      </c>
      <c r="E11" s="1" t="s">
        <v>2</v>
      </c>
      <c r="F11" s="1" t="s">
        <v>148</v>
      </c>
      <c r="G11" s="1" t="s">
        <v>26</v>
      </c>
      <c r="I11" s="1" t="s">
        <v>27</v>
      </c>
      <c r="J11" s="1" t="s">
        <v>14</v>
      </c>
      <c r="L11" s="1">
        <v>2021</v>
      </c>
      <c r="M11" s="4" t="s">
        <v>7</v>
      </c>
    </row>
    <row r="12" spans="1:14" s="1" customFormat="1" x14ac:dyDescent="0.25">
      <c r="A12" s="1" t="s">
        <v>35</v>
      </c>
      <c r="B12" s="2">
        <v>12.74245</v>
      </c>
      <c r="C12" s="2">
        <v>46.17642</v>
      </c>
      <c r="D12" s="3">
        <v>438034000</v>
      </c>
      <c r="E12" s="1" t="s">
        <v>2</v>
      </c>
      <c r="F12" s="1" t="s">
        <v>149</v>
      </c>
      <c r="G12" s="1" t="s">
        <v>3</v>
      </c>
      <c r="H12" s="1" t="s">
        <v>16</v>
      </c>
      <c r="I12" s="1" t="s">
        <v>36</v>
      </c>
      <c r="J12" s="1">
        <v>1000000</v>
      </c>
      <c r="K12" s="1" t="s">
        <v>6</v>
      </c>
      <c r="L12" s="1">
        <v>2021</v>
      </c>
      <c r="M12" s="4" t="s">
        <v>7</v>
      </c>
    </row>
    <row r="13" spans="1:14" s="16" customFormat="1" x14ac:dyDescent="0.25">
      <c r="A13" s="16" t="s">
        <v>37</v>
      </c>
      <c r="B13" s="17">
        <v>9.7164300000000008</v>
      </c>
      <c r="C13" s="17">
        <v>45.04795</v>
      </c>
      <c r="D13" s="18">
        <v>405887000</v>
      </c>
      <c r="E13" s="16" t="s">
        <v>2</v>
      </c>
      <c r="F13" s="16" t="s">
        <v>150</v>
      </c>
      <c r="G13" s="16" t="s">
        <v>9</v>
      </c>
      <c r="H13" s="16" t="s">
        <v>16</v>
      </c>
      <c r="I13" s="16" t="s">
        <v>38</v>
      </c>
      <c r="J13" s="16">
        <v>1000000</v>
      </c>
      <c r="L13" s="16">
        <v>2021</v>
      </c>
      <c r="M13" s="19" t="s">
        <v>7</v>
      </c>
    </row>
    <row r="14" spans="1:14" s="1" customFormat="1" x14ac:dyDescent="0.25">
      <c r="A14" s="1" t="s">
        <v>8</v>
      </c>
      <c r="B14" s="2">
        <v>11.963570000000001</v>
      </c>
      <c r="C14" s="2">
        <v>45.88</v>
      </c>
      <c r="D14" s="3">
        <v>351766000</v>
      </c>
      <c r="E14" s="1" t="s">
        <v>2</v>
      </c>
      <c r="F14" s="1" t="s">
        <v>151</v>
      </c>
      <c r="G14" s="1" t="s">
        <v>9</v>
      </c>
      <c r="H14" s="1" t="s">
        <v>4</v>
      </c>
      <c r="I14" s="1" t="s">
        <v>10</v>
      </c>
      <c r="J14" s="1">
        <v>1000000</v>
      </c>
      <c r="L14" s="1">
        <v>2021</v>
      </c>
      <c r="M14" s="4" t="s">
        <v>7</v>
      </c>
    </row>
    <row r="15" spans="1:14" s="1" customFormat="1" x14ac:dyDescent="0.25">
      <c r="A15" s="1" t="s">
        <v>1</v>
      </c>
      <c r="B15" s="2">
        <v>11.75079</v>
      </c>
      <c r="C15" s="2">
        <v>45.252960000000002</v>
      </c>
      <c r="D15" s="3">
        <v>342306000</v>
      </c>
      <c r="E15" s="1" t="s">
        <v>2</v>
      </c>
      <c r="F15" s="1" t="s">
        <v>152</v>
      </c>
      <c r="G15" s="1" t="s">
        <v>3</v>
      </c>
      <c r="H15" s="1" t="s">
        <v>4</v>
      </c>
      <c r="I15" s="1" t="s">
        <v>5</v>
      </c>
      <c r="J15" s="1">
        <v>800000</v>
      </c>
      <c r="K15" s="1" t="s">
        <v>6</v>
      </c>
      <c r="L15" s="1">
        <v>2021</v>
      </c>
      <c r="M15" s="4" t="s">
        <v>7</v>
      </c>
    </row>
    <row r="16" spans="1:14" s="16" customFormat="1" x14ac:dyDescent="0.25">
      <c r="A16" s="16" t="s">
        <v>113</v>
      </c>
      <c r="B16" s="17">
        <v>8.7867099999999994</v>
      </c>
      <c r="C16" s="17">
        <v>45.288359999999997</v>
      </c>
      <c r="D16" s="18">
        <v>338516000</v>
      </c>
      <c r="E16" s="16" t="s">
        <v>52</v>
      </c>
      <c r="F16" s="16" t="s">
        <v>126</v>
      </c>
      <c r="G16" s="16" t="s">
        <v>114</v>
      </c>
      <c r="H16" s="16" t="s">
        <v>54</v>
      </c>
      <c r="I16" s="16" t="s">
        <v>115</v>
      </c>
      <c r="J16" s="16">
        <v>380000</v>
      </c>
      <c r="K16" s="16" t="s">
        <v>6</v>
      </c>
      <c r="L16" s="16">
        <v>2021</v>
      </c>
      <c r="M16" s="19" t="s">
        <v>7</v>
      </c>
    </row>
    <row r="17" spans="1:13" s="16" customFormat="1" x14ac:dyDescent="0.25">
      <c r="A17" s="16" t="s">
        <v>84</v>
      </c>
      <c r="B17" s="17">
        <v>9.0725599999999993</v>
      </c>
      <c r="C17" s="17">
        <v>45.504100000000001</v>
      </c>
      <c r="D17" s="18">
        <v>323606842</v>
      </c>
      <c r="E17" s="16" t="s">
        <v>52</v>
      </c>
      <c r="F17" s="16" t="s">
        <v>127</v>
      </c>
      <c r="G17" s="16" t="s">
        <v>69</v>
      </c>
      <c r="H17" s="16" t="s">
        <v>54</v>
      </c>
      <c r="I17" s="16" t="s">
        <v>85</v>
      </c>
      <c r="J17" s="16">
        <v>540000</v>
      </c>
      <c r="K17" s="16" t="s">
        <v>6</v>
      </c>
      <c r="L17" s="16">
        <v>2021</v>
      </c>
      <c r="M17" s="19" t="s">
        <v>7</v>
      </c>
    </row>
    <row r="18" spans="1:13" s="1" customFormat="1" x14ac:dyDescent="0.25">
      <c r="A18" s="1" t="s">
        <v>48</v>
      </c>
      <c r="B18" s="2">
        <v>8.95045</v>
      </c>
      <c r="C18" s="2">
        <v>44.572049999999997</v>
      </c>
      <c r="D18" s="3">
        <v>258516117</v>
      </c>
      <c r="E18" s="1" t="s">
        <v>42</v>
      </c>
      <c r="F18" s="1" t="s">
        <v>128</v>
      </c>
      <c r="G18" s="1" t="s">
        <v>49</v>
      </c>
      <c r="H18" s="1" t="s">
        <v>43</v>
      </c>
      <c r="I18" s="1" t="s">
        <v>50</v>
      </c>
      <c r="L18" s="1">
        <v>2021</v>
      </c>
      <c r="M18" s="4" t="s">
        <v>7</v>
      </c>
    </row>
    <row r="19" spans="1:13" s="16" customFormat="1" x14ac:dyDescent="0.25">
      <c r="A19" s="16" t="s">
        <v>89</v>
      </c>
      <c r="B19" s="17">
        <v>9.2457799999999999</v>
      </c>
      <c r="C19" s="17">
        <v>45.536929999999998</v>
      </c>
      <c r="D19" s="18">
        <v>223853000</v>
      </c>
      <c r="E19" s="16" t="s">
        <v>52</v>
      </c>
      <c r="F19" s="16" t="s">
        <v>129</v>
      </c>
      <c r="G19" s="16" t="s">
        <v>90</v>
      </c>
      <c r="H19" s="16" t="s">
        <v>54</v>
      </c>
      <c r="I19" s="16" t="s">
        <v>91</v>
      </c>
      <c r="J19" s="16">
        <v>174900</v>
      </c>
      <c r="K19" s="16" t="s">
        <v>6</v>
      </c>
      <c r="L19" s="16">
        <v>2021</v>
      </c>
      <c r="M19" s="19" t="s">
        <v>7</v>
      </c>
    </row>
    <row r="20" spans="1:13" s="1" customFormat="1" x14ac:dyDescent="0.25">
      <c r="A20" s="1" t="s">
        <v>57</v>
      </c>
      <c r="B20" s="2">
        <v>11.053699999999999</v>
      </c>
      <c r="C20" s="2">
        <v>45.400399999999998</v>
      </c>
      <c r="D20" s="3">
        <v>200899360.40948996</v>
      </c>
      <c r="E20" s="1" t="s">
        <v>52</v>
      </c>
      <c r="F20" s="1" t="s">
        <v>147</v>
      </c>
      <c r="G20" s="1" t="s">
        <v>58</v>
      </c>
      <c r="H20" s="1" t="s">
        <v>54</v>
      </c>
      <c r="I20" s="1" t="s">
        <v>59</v>
      </c>
      <c r="J20" s="1">
        <v>180000</v>
      </c>
      <c r="K20" s="1" t="s">
        <v>6</v>
      </c>
      <c r="L20" s="1" t="s">
        <v>60</v>
      </c>
      <c r="M20" s="1" t="s">
        <v>61</v>
      </c>
    </row>
    <row r="21" spans="1:13" s="1" customFormat="1" x14ac:dyDescent="0.25">
      <c r="A21" s="1" t="s">
        <v>11</v>
      </c>
      <c r="B21" s="2">
        <v>12.269209999999999</v>
      </c>
      <c r="C21" s="2">
        <v>45.816160000000004</v>
      </c>
      <c r="D21" s="3">
        <v>197108000</v>
      </c>
      <c r="E21" s="1" t="s">
        <v>2</v>
      </c>
      <c r="F21" s="1" t="s">
        <v>153</v>
      </c>
      <c r="G21" s="1" t="s">
        <v>12</v>
      </c>
      <c r="H21" s="1" t="s">
        <v>4</v>
      </c>
      <c r="I21" s="1" t="s">
        <v>13</v>
      </c>
      <c r="J21" s="1" t="s">
        <v>14</v>
      </c>
      <c r="L21" s="1">
        <v>2021</v>
      </c>
      <c r="M21" s="4" t="s">
        <v>7</v>
      </c>
    </row>
    <row r="22" spans="1:13" s="1" customFormat="1" x14ac:dyDescent="0.25">
      <c r="A22" s="1" t="s">
        <v>78</v>
      </c>
      <c r="B22" s="2">
        <v>9.6078200000000002</v>
      </c>
      <c r="C22" s="2">
        <v>45.634659999999997</v>
      </c>
      <c r="D22" s="3">
        <v>190599884</v>
      </c>
      <c r="E22" s="1" t="s">
        <v>52</v>
      </c>
      <c r="F22" s="1" t="s">
        <v>154</v>
      </c>
      <c r="G22" s="1" t="s">
        <v>79</v>
      </c>
      <c r="H22" s="1" t="s">
        <v>54</v>
      </c>
      <c r="I22" s="1" t="s">
        <v>80</v>
      </c>
      <c r="J22" s="1">
        <v>150000</v>
      </c>
      <c r="K22" s="1" t="s">
        <v>6</v>
      </c>
      <c r="L22" s="1">
        <v>2021</v>
      </c>
      <c r="M22" s="4" t="s">
        <v>7</v>
      </c>
    </row>
    <row r="23" spans="1:13" s="16" customFormat="1" x14ac:dyDescent="0.25">
      <c r="A23" s="16" t="s">
        <v>104</v>
      </c>
      <c r="B23" s="17">
        <v>11.428890000000001</v>
      </c>
      <c r="C23" s="17">
        <v>44.522860000000001</v>
      </c>
      <c r="D23" s="18">
        <v>186972000</v>
      </c>
      <c r="E23" s="16" t="s">
        <v>52</v>
      </c>
      <c r="F23" s="16" t="s">
        <v>155</v>
      </c>
      <c r="G23" s="16" t="s">
        <v>105</v>
      </c>
      <c r="H23" s="16" t="s">
        <v>54</v>
      </c>
      <c r="I23" s="16" t="s">
        <v>106</v>
      </c>
      <c r="J23" s="16">
        <v>222000</v>
      </c>
      <c r="K23" s="16" t="s">
        <v>6</v>
      </c>
      <c r="L23" s="16">
        <v>2021</v>
      </c>
      <c r="M23" s="19" t="s">
        <v>7</v>
      </c>
    </row>
    <row r="24" spans="1:13" s="1" customFormat="1" x14ac:dyDescent="0.25">
      <c r="A24" s="1" t="s">
        <v>107</v>
      </c>
      <c r="B24" s="2">
        <v>10.943759999999999</v>
      </c>
      <c r="C24" s="2">
        <v>44.676139999999997</v>
      </c>
      <c r="D24" s="3">
        <v>186706873</v>
      </c>
      <c r="E24" s="1" t="s">
        <v>52</v>
      </c>
      <c r="F24" s="1" t="s">
        <v>156</v>
      </c>
      <c r="G24" s="1" t="s">
        <v>98</v>
      </c>
      <c r="H24" s="1" t="s">
        <v>54</v>
      </c>
      <c r="I24" s="1" t="s">
        <v>108</v>
      </c>
      <c r="J24" s="1">
        <v>203125</v>
      </c>
      <c r="K24" s="1" t="s">
        <v>6</v>
      </c>
      <c r="L24" s="1">
        <v>2021</v>
      </c>
      <c r="M24" s="4" t="s">
        <v>7</v>
      </c>
    </row>
    <row r="25" spans="1:13" s="1" customFormat="1" x14ac:dyDescent="0.25">
      <c r="A25" s="1" t="s">
        <v>51</v>
      </c>
      <c r="B25" s="2">
        <v>11.924099999999999</v>
      </c>
      <c r="C25" s="2">
        <v>45.408700000000003</v>
      </c>
      <c r="D25" s="3">
        <v>179315793</v>
      </c>
      <c r="E25" s="1" t="s">
        <v>52</v>
      </c>
      <c r="F25" s="1" t="s">
        <v>157</v>
      </c>
      <c r="G25" s="1" t="s">
        <v>53</v>
      </c>
      <c r="H25" s="1" t="s">
        <v>54</v>
      </c>
      <c r="I25" s="1" t="s">
        <v>55</v>
      </c>
      <c r="J25" s="1">
        <v>600</v>
      </c>
      <c r="K25" s="1" t="s">
        <v>56</v>
      </c>
      <c r="L25" s="1">
        <v>2021</v>
      </c>
      <c r="M25" s="4" t="s">
        <v>7</v>
      </c>
    </row>
    <row r="26" spans="1:13" s="1" customFormat="1" x14ac:dyDescent="0.25">
      <c r="A26" s="1" t="s">
        <v>109</v>
      </c>
      <c r="B26" s="2">
        <v>10.35805</v>
      </c>
      <c r="C26" s="2">
        <v>44.856079999999999</v>
      </c>
      <c r="D26" s="3">
        <v>166966760</v>
      </c>
      <c r="E26" s="1" t="s">
        <v>52</v>
      </c>
      <c r="F26" s="1" t="s">
        <v>158</v>
      </c>
      <c r="G26" s="1" t="s">
        <v>110</v>
      </c>
      <c r="H26" s="1" t="s">
        <v>111</v>
      </c>
      <c r="I26" s="1" t="s">
        <v>112</v>
      </c>
      <c r="J26" s="1">
        <v>195000</v>
      </c>
      <c r="K26" s="1" t="s">
        <v>6</v>
      </c>
      <c r="L26" s="1">
        <v>2021</v>
      </c>
      <c r="M26" s="4" t="s">
        <v>7</v>
      </c>
    </row>
    <row r="27" spans="1:13" s="1" customFormat="1" x14ac:dyDescent="0.25">
      <c r="A27" s="1" t="s">
        <v>95</v>
      </c>
      <c r="B27" s="2">
        <v>13.80006</v>
      </c>
      <c r="C27" s="2">
        <v>45.611739999999998</v>
      </c>
      <c r="D27" s="3">
        <v>157981171</v>
      </c>
      <c r="E27" s="1" t="s">
        <v>52</v>
      </c>
      <c r="F27" s="1" t="s">
        <v>159</v>
      </c>
      <c r="G27" s="1" t="s">
        <v>53</v>
      </c>
      <c r="H27" s="1" t="s">
        <v>54</v>
      </c>
      <c r="I27" s="1" t="s">
        <v>96</v>
      </c>
      <c r="J27" s="1">
        <v>612</v>
      </c>
      <c r="K27" s="1" t="s">
        <v>56</v>
      </c>
      <c r="L27" s="1">
        <v>2021</v>
      </c>
      <c r="M27" s="4" t="s">
        <v>7</v>
      </c>
    </row>
    <row r="28" spans="1:13" s="1" customFormat="1" x14ac:dyDescent="0.25">
      <c r="A28" s="1" t="s">
        <v>62</v>
      </c>
      <c r="B28" s="2">
        <v>11.30925</v>
      </c>
      <c r="C28" s="2">
        <v>46.468580000000003</v>
      </c>
      <c r="D28" s="3">
        <v>145093982.51796496</v>
      </c>
      <c r="E28" s="1" t="s">
        <v>52</v>
      </c>
      <c r="F28" s="1" t="s">
        <v>160</v>
      </c>
      <c r="G28" s="1" t="s">
        <v>63</v>
      </c>
      <c r="H28" s="1" t="s">
        <v>54</v>
      </c>
      <c r="I28" s="1" t="s">
        <v>64</v>
      </c>
      <c r="J28" s="1">
        <v>130000</v>
      </c>
      <c r="K28" s="1" t="s">
        <v>6</v>
      </c>
      <c r="L28" s="1" t="s">
        <v>60</v>
      </c>
      <c r="M28" s="1" t="s">
        <v>61</v>
      </c>
    </row>
    <row r="29" spans="1:13" s="1" customFormat="1" x14ac:dyDescent="0.25">
      <c r="A29" s="1" t="s">
        <v>102</v>
      </c>
      <c r="B29" s="2">
        <v>12.08798</v>
      </c>
      <c r="C29" s="2">
        <v>44.234389999999998</v>
      </c>
      <c r="D29" s="3">
        <v>144055000</v>
      </c>
      <c r="E29" s="1" t="s">
        <v>52</v>
      </c>
      <c r="F29" s="1" t="s">
        <v>161</v>
      </c>
      <c r="G29" s="1" t="s">
        <v>98</v>
      </c>
      <c r="H29" s="1" t="s">
        <v>54</v>
      </c>
      <c r="I29" s="1" t="s">
        <v>103</v>
      </c>
      <c r="J29" s="1">
        <v>120000</v>
      </c>
      <c r="K29" s="1" t="s">
        <v>6</v>
      </c>
      <c r="L29" s="1">
        <v>2021</v>
      </c>
      <c r="M29" s="4" t="s">
        <v>7</v>
      </c>
    </row>
    <row r="30" spans="1:13" s="16" customFormat="1" x14ac:dyDescent="0.25">
      <c r="A30" s="16" t="s">
        <v>100</v>
      </c>
      <c r="B30" s="17">
        <v>11.556369999999999</v>
      </c>
      <c r="C30" s="17">
        <v>44.862630000000003</v>
      </c>
      <c r="D30" s="18">
        <v>130183000</v>
      </c>
      <c r="E30" s="16" t="s">
        <v>52</v>
      </c>
      <c r="F30" s="16" t="s">
        <v>162</v>
      </c>
      <c r="G30" s="16" t="s">
        <v>98</v>
      </c>
      <c r="H30" s="16" t="s">
        <v>54</v>
      </c>
      <c r="I30" s="16" t="s">
        <v>101</v>
      </c>
      <c r="J30" s="16">
        <v>153333.33333333331</v>
      </c>
      <c r="K30" s="16" t="s">
        <v>6</v>
      </c>
      <c r="L30" s="16">
        <v>2021</v>
      </c>
      <c r="M30" s="19" t="s">
        <v>7</v>
      </c>
    </row>
    <row r="31" spans="1:13" s="1" customFormat="1" x14ac:dyDescent="0.25">
      <c r="A31" s="1" t="s">
        <v>18</v>
      </c>
      <c r="B31" s="2">
        <v>10.047129999999999</v>
      </c>
      <c r="C31" s="2">
        <v>45.716859999999997</v>
      </c>
      <c r="D31" s="3">
        <v>128287000</v>
      </c>
      <c r="E31" s="1" t="s">
        <v>2</v>
      </c>
      <c r="F31" s="1" t="s">
        <v>163</v>
      </c>
      <c r="G31" s="1" t="s">
        <v>19</v>
      </c>
      <c r="H31" s="1" t="s">
        <v>20</v>
      </c>
      <c r="I31" s="1" t="s">
        <v>21</v>
      </c>
      <c r="L31" s="1">
        <v>2021</v>
      </c>
      <c r="M31" s="4" t="s">
        <v>7</v>
      </c>
    </row>
    <row r="32" spans="1:13" s="1" customFormat="1" x14ac:dyDescent="0.25">
      <c r="A32" s="1" t="s">
        <v>92</v>
      </c>
      <c r="B32" s="2">
        <v>9.3596500000000002</v>
      </c>
      <c r="C32" s="2">
        <v>45.839730000000003</v>
      </c>
      <c r="D32" s="3">
        <v>128208990</v>
      </c>
      <c r="E32" s="1" t="s">
        <v>52</v>
      </c>
      <c r="F32" s="1" t="s">
        <v>164</v>
      </c>
      <c r="G32" s="1" t="s">
        <v>93</v>
      </c>
      <c r="H32" s="1" t="s">
        <v>54</v>
      </c>
      <c r="I32" s="1" t="s">
        <v>94</v>
      </c>
      <c r="J32" s="1">
        <v>93400</v>
      </c>
      <c r="K32" s="1" t="s">
        <v>6</v>
      </c>
      <c r="L32" s="1">
        <v>2021</v>
      </c>
      <c r="M32" s="4" t="s">
        <v>7</v>
      </c>
    </row>
    <row r="33" spans="1:13" s="1" customFormat="1" x14ac:dyDescent="0.25">
      <c r="A33" s="1" t="s">
        <v>18</v>
      </c>
      <c r="B33" s="2">
        <v>10.047169999999999</v>
      </c>
      <c r="C33" s="2">
        <v>45.71698</v>
      </c>
      <c r="D33" s="5">
        <v>128207000</v>
      </c>
      <c r="E33" s="1" t="s">
        <v>2</v>
      </c>
      <c r="F33" s="1" t="s">
        <v>165</v>
      </c>
      <c r="G33" s="1" t="s">
        <v>30</v>
      </c>
      <c r="H33" s="1" t="s">
        <v>16</v>
      </c>
      <c r="I33" s="1" t="s">
        <v>31</v>
      </c>
      <c r="J33" s="1" t="s">
        <v>14</v>
      </c>
      <c r="L33" s="1">
        <v>2021</v>
      </c>
      <c r="M33" s="6" t="s">
        <v>7</v>
      </c>
    </row>
    <row r="34" spans="1:13" s="1" customFormat="1" x14ac:dyDescent="0.25">
      <c r="A34" s="1" t="s">
        <v>97</v>
      </c>
      <c r="B34" s="2">
        <v>12.63189</v>
      </c>
      <c r="C34" s="2">
        <v>43.9803</v>
      </c>
      <c r="D34" s="3">
        <v>128100192</v>
      </c>
      <c r="E34" s="1" t="s">
        <v>52</v>
      </c>
      <c r="F34" s="1" t="s">
        <v>166</v>
      </c>
      <c r="G34" s="1" t="s">
        <v>98</v>
      </c>
      <c r="H34" s="1" t="s">
        <v>54</v>
      </c>
      <c r="I34" s="1" t="s">
        <v>99</v>
      </c>
      <c r="J34" s="1">
        <v>150000</v>
      </c>
      <c r="K34" s="1" t="s">
        <v>6</v>
      </c>
      <c r="L34" s="1">
        <v>2021</v>
      </c>
      <c r="M34" s="4" t="s">
        <v>7</v>
      </c>
    </row>
    <row r="35" spans="1:13" s="16" customFormat="1" x14ac:dyDescent="0.25">
      <c r="A35" s="16" t="s">
        <v>116</v>
      </c>
      <c r="B35" s="17">
        <v>9.7325099999999996</v>
      </c>
      <c r="C35" s="17">
        <v>45.056750000000001</v>
      </c>
      <c r="D35" s="18">
        <v>123636000</v>
      </c>
      <c r="E35" s="16" t="s">
        <v>52</v>
      </c>
      <c r="F35" s="16" t="s">
        <v>167</v>
      </c>
      <c r="G35" s="16" t="s">
        <v>110</v>
      </c>
      <c r="H35" s="16" t="s">
        <v>54</v>
      </c>
      <c r="I35" s="16" t="s">
        <v>38</v>
      </c>
      <c r="J35" s="16">
        <v>120000</v>
      </c>
      <c r="K35" s="16" t="s">
        <v>6</v>
      </c>
      <c r="L35" s="16">
        <v>2021</v>
      </c>
      <c r="M35" s="19" t="s">
        <v>7</v>
      </c>
    </row>
    <row r="36" spans="1:13" s="1" customFormat="1" x14ac:dyDescent="0.25">
      <c r="A36" s="1" t="s">
        <v>72</v>
      </c>
      <c r="B36" s="2">
        <v>8.8373200000000001</v>
      </c>
      <c r="C36" s="2">
        <v>45.572769999999998</v>
      </c>
      <c r="D36" s="3">
        <v>122771831.36135496</v>
      </c>
      <c r="E36" s="1" t="s">
        <v>52</v>
      </c>
      <c r="F36" s="1" t="s">
        <v>168</v>
      </c>
      <c r="G36" s="1" t="s">
        <v>73</v>
      </c>
      <c r="H36" s="1" t="s">
        <v>54</v>
      </c>
      <c r="I36" s="1" t="s">
        <v>74</v>
      </c>
      <c r="J36" s="1">
        <v>110000</v>
      </c>
      <c r="K36" s="1" t="s">
        <v>6</v>
      </c>
      <c r="L36" s="1" t="s">
        <v>60</v>
      </c>
      <c r="M36" s="1" t="s">
        <v>61</v>
      </c>
    </row>
    <row r="37" spans="1:13" s="1" customFormat="1" x14ac:dyDescent="0.25">
      <c r="A37" s="1" t="s">
        <v>86</v>
      </c>
      <c r="B37" s="2">
        <v>9.3601100000000006</v>
      </c>
      <c r="C37" s="2">
        <v>45.170850000000002</v>
      </c>
      <c r="D37" s="3">
        <v>120000000</v>
      </c>
      <c r="E37" s="1" t="s">
        <v>52</v>
      </c>
      <c r="F37" s="1" t="s">
        <v>169</v>
      </c>
      <c r="G37" s="1" t="s">
        <v>69</v>
      </c>
      <c r="H37" s="1" t="s">
        <v>87</v>
      </c>
      <c r="I37" s="1" t="s">
        <v>88</v>
      </c>
      <c r="J37" s="1">
        <v>160000</v>
      </c>
      <c r="K37" s="1" t="s">
        <v>6</v>
      </c>
      <c r="L37" s="1" t="s">
        <v>60</v>
      </c>
      <c r="M37" s="1" t="s">
        <v>61</v>
      </c>
    </row>
    <row r="38" spans="1:13" s="1" customFormat="1" x14ac:dyDescent="0.25">
      <c r="A38" s="1" t="s">
        <v>81</v>
      </c>
      <c r="B38" s="2">
        <v>9.1791900000000002</v>
      </c>
      <c r="C38" s="2">
        <v>45.610050000000001</v>
      </c>
      <c r="D38" s="3">
        <v>111610755.78304997</v>
      </c>
      <c r="E38" s="1" t="s">
        <v>52</v>
      </c>
      <c r="F38" s="1" t="s">
        <v>170</v>
      </c>
      <c r="G38" s="1" t="s">
        <v>82</v>
      </c>
      <c r="H38" s="1" t="s">
        <v>54</v>
      </c>
      <c r="I38" s="1" t="s">
        <v>83</v>
      </c>
      <c r="J38" s="1">
        <v>100000</v>
      </c>
      <c r="K38" s="1" t="s">
        <v>6</v>
      </c>
      <c r="L38" s="1" t="s">
        <v>60</v>
      </c>
      <c r="M38" s="1" t="s">
        <v>61</v>
      </c>
    </row>
    <row r="39" spans="1:13" s="1" customFormat="1" x14ac:dyDescent="0.25">
      <c r="A39" s="1" t="s">
        <v>75</v>
      </c>
      <c r="B39" s="2">
        <v>9.0714299999999994</v>
      </c>
      <c r="C39" s="2">
        <v>45.774059999999999</v>
      </c>
      <c r="D39" s="3">
        <v>105538400</v>
      </c>
      <c r="E39" s="1" t="s">
        <v>52</v>
      </c>
      <c r="F39" s="1" t="s">
        <v>171</v>
      </c>
      <c r="G39" s="1" t="s">
        <v>76</v>
      </c>
      <c r="H39" s="1" t="s">
        <v>54</v>
      </c>
      <c r="I39" s="1" t="s">
        <v>77</v>
      </c>
      <c r="J39" s="1">
        <v>93000</v>
      </c>
      <c r="K39" s="1" t="s">
        <v>6</v>
      </c>
      <c r="L39" s="1">
        <v>2021</v>
      </c>
      <c r="M39" s="4" t="s">
        <v>7</v>
      </c>
    </row>
    <row r="42" spans="1:13" x14ac:dyDescent="0.25">
      <c r="A42" s="1" t="s">
        <v>179</v>
      </c>
      <c r="B42" s="15">
        <v>2024</v>
      </c>
    </row>
    <row r="43" spans="1:13" x14ac:dyDescent="0.25">
      <c r="A43" s="1" t="s">
        <v>180</v>
      </c>
      <c r="B43">
        <v>288</v>
      </c>
    </row>
    <row r="44" spans="1:13" x14ac:dyDescent="0.25">
      <c r="A44" s="1" t="s">
        <v>183</v>
      </c>
      <c r="B44" s="24">
        <f>28.9/AVERAGE(railway!C2,railway!D3,railway!F4,railway!M10)+0.07</f>
        <v>0.50310479187741186</v>
      </c>
    </row>
    <row r="45" spans="1:13" x14ac:dyDescent="0.25">
      <c r="A45" s="1" t="s">
        <v>184</v>
      </c>
      <c r="B45" s="24">
        <f>5.58/AVERAGE(truck!C2,truck!D3,truck!E4,truck!F4,truck!F5,truck!G6,truck!F11,truck!F12,truck!I7,truck!I10,truck!I12,truck!J7,truck!J8,truck!J9,truck!J12,truck!K2,truck!K3,truck!K4,truck!L2,truck!L5,truck!L6,truck!L8,truck!L11,truck!M9,truck!M10,truck!N9,truck!N10,truck!N13)+0.15</f>
        <v>0.22504214636676706</v>
      </c>
    </row>
    <row r="47" spans="1:13" x14ac:dyDescent="0.25">
      <c r="E47" s="20"/>
      <c r="F47" s="20"/>
    </row>
    <row r="48" spans="1:13" x14ac:dyDescent="0.25">
      <c r="E48" s="20"/>
    </row>
    <row r="49" spans="5:5" x14ac:dyDescent="0.25">
      <c r="E49" s="20"/>
    </row>
    <row r="50" spans="5:5" x14ac:dyDescent="0.25">
      <c r="E50" s="20"/>
    </row>
    <row r="51" spans="5:5" x14ac:dyDescent="0.25">
      <c r="E51" s="20"/>
    </row>
    <row r="52" spans="5:5" x14ac:dyDescent="0.25">
      <c r="E52" s="20"/>
    </row>
    <row r="53" spans="5:5" x14ac:dyDescent="0.25">
      <c r="E53" s="20"/>
    </row>
    <row r="54" spans="5:5" x14ac:dyDescent="0.25">
      <c r="E54" s="20"/>
    </row>
    <row r="55" spans="5:5" x14ac:dyDescent="0.25">
      <c r="E55" s="20"/>
    </row>
    <row r="56" spans="5:5" x14ac:dyDescent="0.25">
      <c r="E56" s="20"/>
    </row>
    <row r="57" spans="5:5" x14ac:dyDescent="0.25">
      <c r="E57" s="20"/>
    </row>
    <row r="58" spans="5:5" x14ac:dyDescent="0.25">
      <c r="E58" s="20"/>
    </row>
    <row r="59" spans="5:5" x14ac:dyDescent="0.25">
      <c r="E59" s="20"/>
    </row>
    <row r="60" spans="5:5" x14ac:dyDescent="0.25">
      <c r="E60" s="20"/>
    </row>
    <row r="61" spans="5:5" x14ac:dyDescent="0.25">
      <c r="E61" s="20"/>
    </row>
    <row r="62" spans="5:5" x14ac:dyDescent="0.25">
      <c r="E62" s="20"/>
    </row>
    <row r="63" spans="5:5" x14ac:dyDescent="0.25">
      <c r="E63" s="21"/>
    </row>
    <row r="64" spans="5:5" x14ac:dyDescent="0.25">
      <c r="E64" s="20"/>
    </row>
    <row r="65" spans="5:5" x14ac:dyDescent="0.25">
      <c r="E65" s="20"/>
    </row>
    <row r="66" spans="5:5" x14ac:dyDescent="0.25">
      <c r="E66" s="20"/>
    </row>
    <row r="67" spans="5:5" x14ac:dyDescent="0.25">
      <c r="E67" s="20"/>
    </row>
    <row r="68" spans="5:5" x14ac:dyDescent="0.25">
      <c r="E68" s="20"/>
    </row>
    <row r="69" spans="5:5" x14ac:dyDescent="0.25">
      <c r="E69" s="20"/>
    </row>
    <row r="70" spans="5:5" x14ac:dyDescent="0.25">
      <c r="E70" s="21"/>
    </row>
    <row r="71" spans="5:5" x14ac:dyDescent="0.25">
      <c r="E71" s="21"/>
    </row>
    <row r="72" spans="5:5" x14ac:dyDescent="0.25">
      <c r="E72" s="20"/>
    </row>
    <row r="76" spans="5:5" x14ac:dyDescent="0.25">
      <c r="E76" s="20"/>
    </row>
    <row r="77" spans="5:5" x14ac:dyDescent="0.25">
      <c r="E77" s="20"/>
    </row>
    <row r="78" spans="5:5" x14ac:dyDescent="0.25">
      <c r="E78" s="20"/>
    </row>
    <row r="79" spans="5:5" x14ac:dyDescent="0.25">
      <c r="E79" s="20"/>
    </row>
    <row r="81" spans="5:5" x14ac:dyDescent="0.25">
      <c r="E81" s="20"/>
    </row>
    <row r="82" spans="5:5" x14ac:dyDescent="0.25">
      <c r="E82" s="20"/>
    </row>
  </sheetData>
  <sortState xmlns:xlrd2="http://schemas.microsoft.com/office/spreadsheetml/2017/richdata2" ref="A2:M39">
    <sortCondition descending="1" ref="D2:D39"/>
  </sortState>
  <hyperlinks>
    <hyperlink ref="M15" r:id="rId1" xr:uid="{AAD10B77-473A-8743-B037-D5EE6B4990C9}"/>
    <hyperlink ref="M3:M5" r:id="rId2" display="https://industry.eea.europa.eu/" xr:uid="{F0924908-0078-7E4D-AD48-C3C08615191F}"/>
    <hyperlink ref="M6:M9" r:id="rId3" display="https://industry.eea.europa.eu/" xr:uid="{5ABDE5FD-0CC5-FE4C-86DB-F9E5A9D6E3A6}"/>
    <hyperlink ref="M10:M14" r:id="rId4" display="https://industry.eea.europa.eu/" xr:uid="{E441908D-2E63-2B4C-9C64-4106C7F0167D}"/>
    <hyperlink ref="M15:M17" r:id="rId5" display="https://industry.eea.europa.eu/" xr:uid="{F1498B1C-1844-2A4A-B5EF-5BD6F80D720C}"/>
    <hyperlink ref="M25" r:id="rId6" xr:uid="{CF86812B-28DC-A14F-9B2F-73C95EDD7247}"/>
    <hyperlink ref="M8" r:id="rId7" xr:uid="{5BC260DE-FB19-C548-AAAB-ED616E8B61EB}"/>
    <hyperlink ref="M39" r:id="rId8" xr:uid="{AA8F7F2B-1A7C-5D49-879B-23E71DC6C008}"/>
    <hyperlink ref="M22" r:id="rId9" xr:uid="{09D0F5DB-EB76-9349-8969-E0995673C7C2}"/>
    <hyperlink ref="M17" r:id="rId10" xr:uid="{CDAA415E-5807-E845-9C9C-2AD82EC27BAD}"/>
    <hyperlink ref="M19" r:id="rId11" xr:uid="{8A8B1EF3-57AD-FC48-B1B9-6DB97D48B94C}"/>
    <hyperlink ref="M30:M39" r:id="rId12" display="https://industry.eea.europa.eu/" xr:uid="{4028CED2-3AF1-2C49-9212-50025082FFEF}"/>
    <hyperlink ref="M21" r:id="rId13" xr:uid="{54568113-A748-AD4A-B32A-BCE8C2E6D4EE}"/>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nodes</vt:lpstr>
      <vt:lpstr>truck</vt:lpstr>
      <vt:lpstr>pipeline</vt:lpstr>
      <vt:lpstr>railway</vt: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Mock, P. (Peter)</cp:lastModifiedBy>
  <dcterms:created xsi:type="dcterms:W3CDTF">2025-05-20T14:09:41Z</dcterms:created>
  <dcterms:modified xsi:type="dcterms:W3CDTF">2025-10-25T15:47:33Z</dcterms:modified>
</cp:coreProperties>
</file>